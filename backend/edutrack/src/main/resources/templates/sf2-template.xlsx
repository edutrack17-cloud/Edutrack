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JUNE" sheetId="1" state="visible" r:id="rId1"/>
  </sheets>
  <definedNames/>
  <calcPr calcId="191029" fullCalcOnLoad="1"/>
</workbook>
</file>

<file path=xl/styles.xml><?xml version="1.0" encoding="utf-8"?>
<styleSheet xmlns="http://schemas.openxmlformats.org/spreadsheetml/2006/main">
  <numFmts count="2">
    <numFmt numFmtId="164" formatCode="#.###"/>
    <numFmt numFmtId="165" formatCode="#.####"/>
  </numFmts>
  <fonts count="31">
    <font>
      <name val="Aptos Narrow"/>
      <color rgb="FF000000"/>
      <sz val="10"/>
      <scheme val="minor"/>
    </font>
    <font>
      <name val="Arial"/>
      <family val="2"/>
      <b val="1"/>
      <color theme="1"/>
      <sz val="8"/>
    </font>
    <font>
      <name val="Arial"/>
      <family val="2"/>
      <sz val="10"/>
    </font>
    <font>
      <name val="Arial"/>
      <family val="2"/>
      <color theme="1"/>
      <sz val="7"/>
    </font>
    <font>
      <name val="Arial"/>
      <family val="2"/>
      <sz val="8"/>
    </font>
    <font>
      <name val="Arial"/>
      <family val="2"/>
      <color theme="1"/>
      <sz val="6"/>
    </font>
    <font>
      <name val="Arial"/>
      <family val="2"/>
      <color theme="1"/>
      <sz val="10"/>
    </font>
    <font>
      <name val="Arial"/>
      <family val="2"/>
      <color theme="1"/>
      <sz val="8"/>
    </font>
    <font>
      <name val="Arial"/>
      <family val="2"/>
      <b val="1"/>
      <color rgb="FFFF0000"/>
      <sz val="8"/>
    </font>
    <font>
      <name val="Arial Narrow"/>
      <family val="2"/>
      <sz val="9"/>
    </font>
    <font>
      <name val="Arial"/>
      <family val="2"/>
      <color rgb="FFFF0000"/>
      <sz val="7"/>
    </font>
    <font>
      <name val="Aptos Narrow"/>
      <family val="2"/>
      <color rgb="FF000000"/>
      <sz val="10"/>
      <scheme val="minor"/>
    </font>
    <font>
      <name val="SansSerif"/>
      <b val="1"/>
      <sz val="8"/>
    </font>
    <font>
      <name val="Sansserif"/>
      <b val="1"/>
      <sz val="13"/>
    </font>
    <font>
      <name val="Aptos Narrow"/>
      <family val="2"/>
      <sz val="10"/>
      <scheme val="minor"/>
    </font>
    <font>
      <name val="Sansserif"/>
      <i val="1"/>
      <sz val="5"/>
    </font>
    <font>
      <name val="Sansserif"/>
      <sz val="6"/>
    </font>
    <font>
      <name val="Sansserif"/>
      <sz val="9"/>
    </font>
    <font>
      <name val="Arial"/>
      <family val="2"/>
      <b val="1"/>
      <sz val="8"/>
    </font>
    <font>
      <name val="Sansserif"/>
      <b val="1"/>
      <sz val="6"/>
    </font>
    <font>
      <name val="Sansserif"/>
      <b val="1"/>
      <sz val="5"/>
    </font>
    <font>
      <name val="Sansserif"/>
      <sz val="7"/>
    </font>
    <font>
      <name val="Arial"/>
      <family val="2"/>
      <sz val="9"/>
    </font>
    <font>
      <name val="Arial Narrow"/>
      <family val="2"/>
      <b val="1"/>
      <sz val="5"/>
    </font>
    <font>
      <name val="Arial"/>
      <family val="2"/>
      <b val="1"/>
      <sz val="6"/>
    </font>
    <font>
      <name val="Sansserif"/>
      <sz val="5"/>
    </font>
    <font>
      <name val="Sansserif"/>
      <b val="1"/>
      <i val="1"/>
      <sz val="5"/>
    </font>
    <font>
      <name val="Sansserif"/>
      <i val="1"/>
      <sz val="8"/>
    </font>
    <font>
      <name val="Arial"/>
      <family val="2"/>
      <sz val="7"/>
    </font>
    <font>
      <name val="Aptos Narrow"/>
      <family val="2"/>
      <color rgb="FF000000"/>
      <sz val="8"/>
      <scheme val="minor"/>
    </font>
    <font>
      <name val="SansSerif"/>
      <b val="1"/>
      <sz val="7"/>
    </font>
  </fonts>
  <fills count="5">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FFFF00"/>
        <bgColor indexed="64"/>
      </patternFill>
    </fill>
  </fills>
  <borders count="134">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medium">
        <color rgb="FF000000"/>
      </right>
      <top style="medium">
        <color rgb="FF000000"/>
      </top>
      <bottom/>
      <diagonal/>
    </border>
    <border>
      <left style="medium">
        <color rgb="FF000000"/>
      </left>
      <right/>
      <top/>
      <bottom/>
      <diagonal/>
    </border>
    <border>
      <left style="medium">
        <color indexed="64"/>
      </left>
      <right/>
      <top/>
      <bottom/>
      <diagonal/>
    </border>
    <border>
      <left/>
      <right style="medium">
        <color indexed="64"/>
      </right>
      <top/>
      <bottom/>
      <diagonal/>
    </border>
    <border>
      <left style="medium">
        <color rgb="FF000000"/>
      </left>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diagonal/>
    </border>
    <border>
      <left/>
      <right style="thin">
        <color rgb="FF000000"/>
      </right>
      <top/>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
      <left/>
      <right style="medium">
        <color indexed="64"/>
      </right>
      <top/>
      <bottom style="thin">
        <color indexed="64"/>
      </bottom>
      <diagonal/>
    </border>
    <border>
      <left style="thin">
        <color rgb="FF000000"/>
      </left>
      <right style="medium">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indexed="64"/>
      </left>
      <right/>
      <top style="thin">
        <color rgb="FF000000"/>
      </top>
      <bottom style="thin">
        <color rgb="FF000000"/>
      </bottom>
      <diagonal/>
    </border>
    <border>
      <left/>
      <right style="medium">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style="medium">
        <color rgb="FF000000"/>
      </bottom>
      <diagonal/>
    </border>
    <border>
      <left/>
      <right style="medium">
        <color rgb="FF000000"/>
      </right>
      <top style="thin">
        <color rgb="FF000000"/>
      </top>
      <bottom style="medium">
        <color rgb="FF000000"/>
      </bottom>
      <diagonal/>
    </border>
    <border>
      <left/>
      <right/>
      <top/>
      <bottom style="thin">
        <color rgb="FF000000"/>
      </bottom>
      <diagonal/>
    </border>
    <border>
      <left style="medium">
        <color rgb="FF000000"/>
      </left>
      <right/>
      <top/>
      <bottom style="thin">
        <color rgb="FF000000"/>
      </bottom>
      <diagonal/>
    </border>
    <border>
      <left/>
      <right style="medium">
        <color rgb="FF000000"/>
      </right>
      <top/>
      <bottom style="thin">
        <color rgb="FF000000"/>
      </bottom>
      <diagonal/>
    </border>
    <border>
      <left style="medium">
        <color rgb="FF000000"/>
      </left>
      <right/>
      <top style="thin">
        <color rgb="FF000000"/>
      </top>
      <bottom/>
      <diagonal/>
    </border>
    <border>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right style="thin">
        <color rgb="FF000000"/>
      </right>
      <top/>
      <bottom style="medium">
        <color rgb="FF000000"/>
      </bottom>
      <diagonal/>
    </border>
    <border>
      <left style="medium">
        <color rgb="FF000000"/>
      </left>
      <right/>
      <top style="thin">
        <color indexed="64"/>
      </top>
      <bottom style="medium">
        <color indexed="64"/>
      </bottom>
      <diagonal/>
    </border>
    <border>
      <left/>
      <right style="medium">
        <color rgb="FF000000"/>
      </right>
      <top style="thin">
        <color indexed="64"/>
      </top>
      <bottom style="medium">
        <color indexed="64"/>
      </bottom>
      <diagonal/>
    </border>
    <border>
      <left/>
      <right/>
      <top style="thin">
        <color rgb="FF000000"/>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thin">
        <color rgb="FF000000"/>
      </right>
      <top/>
      <bottom style="thin">
        <color rgb="FF000000"/>
      </bottom>
      <diagonal/>
    </border>
    <border>
      <left/>
      <right style="thin">
        <color rgb="FFFFFFFF"/>
      </right>
      <top/>
      <bottom/>
      <diagonal/>
    </border>
    <border>
      <left style="thin">
        <color rgb="FF000000"/>
      </left>
      <right style="thin">
        <color rgb="FF000000"/>
      </right>
      <top/>
      <bottom/>
      <diagonal/>
    </border>
    <border>
      <left style="thin">
        <color rgb="FFFFFFFF"/>
      </left>
      <right/>
      <top style="thin">
        <color rgb="FFFFFFFF"/>
      </top>
      <bottom/>
      <diagonal/>
    </border>
    <border>
      <left/>
      <right/>
      <top style="thin">
        <color rgb="FFFFFFFF"/>
      </top>
      <bottom/>
      <diagonal/>
    </border>
    <border>
      <left/>
      <right style="thin">
        <color rgb="FFFFFFFF"/>
      </right>
      <top style="thin">
        <color rgb="FFFFFFFF"/>
      </top>
      <bottom/>
      <diagonal/>
    </border>
    <border>
      <left style="thin">
        <color rgb="FFFFFFFF"/>
      </left>
      <right/>
      <top/>
      <bottom/>
      <diagonal/>
    </border>
    <border>
      <left style="thin">
        <color rgb="FFFFFFFF"/>
      </left>
      <right/>
      <top/>
      <bottom style="thin">
        <color rgb="FFFFFFFF"/>
      </bottom>
      <diagonal/>
    </border>
    <border>
      <left/>
      <right/>
      <top/>
      <bottom style="thin">
        <color rgb="FFFFFFFF"/>
      </bottom>
      <diagonal/>
    </border>
    <border>
      <left/>
      <right style="thin">
        <color rgb="FFFFFFFF"/>
      </right>
      <top/>
      <bottom style="thin">
        <color rgb="FFFFFFFF"/>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medium">
        <color rgb="FF000000"/>
      </right>
      <top style="medium">
        <color indexed="64"/>
      </top>
      <bottom style="medium">
        <color indexed="64"/>
      </bottom>
      <diagonal/>
    </border>
    <border>
      <left style="thin">
        <color indexed="64"/>
      </left>
      <right/>
      <top style="medium">
        <color indexed="64"/>
      </top>
      <bottom style="medium">
        <color indexed="64"/>
      </bottom>
      <diagonal/>
    </border>
    <border>
      <left style="thin">
        <color rgb="FF000000"/>
      </left>
      <right/>
      <top style="medium">
        <color indexed="64"/>
      </top>
      <bottom style="medium">
        <color indexed="64"/>
      </bottom>
      <diagonal/>
    </border>
    <border>
      <left style="thin">
        <color rgb="FF000000"/>
      </left>
      <right style="thin">
        <color rgb="FF000000"/>
      </right>
      <top style="medium">
        <color indexed="64"/>
      </top>
      <bottom style="medium">
        <color indexed="64"/>
      </bottom>
      <diagonal/>
    </border>
    <border>
      <left/>
      <right style="thin">
        <color rgb="FF000000"/>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top style="medium">
        <color rgb="FF000000"/>
      </top>
      <bottom style="thin">
        <color rgb="FF000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rgb="FF000000"/>
      </top>
      <bottom style="thin">
        <color rgb="FF000000"/>
      </bottom>
      <diagonal/>
    </border>
    <border>
      <left/>
      <right style="thin">
        <color indexed="64"/>
      </right>
      <top style="medium">
        <color rgb="FF000000"/>
      </top>
      <bottom style="thin">
        <color rgb="FF000000"/>
      </bottom>
      <diagonal/>
    </border>
    <border>
      <left/>
      <right style="medium">
        <color indexed="64"/>
      </right>
      <top style="thin">
        <color rgb="FF000000"/>
      </top>
      <bottom style="medium">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right style="thin">
        <color indexed="64"/>
      </right>
      <top style="thin">
        <color indexed="64"/>
      </top>
      <bottom style="thin">
        <color rgb="FF000000"/>
      </bottom>
      <diagonal/>
    </border>
    <border>
      <left style="medium">
        <color rgb="FF000000"/>
      </left>
      <right style="medium">
        <color rgb="FF000000"/>
      </right>
      <top style="thin">
        <color rgb="FF000000"/>
      </top>
      <bottom style="thin">
        <color rgb="FF000000"/>
      </bottom>
      <diagonal/>
    </border>
    <border>
      <left style="thin">
        <color indexed="64"/>
      </left>
      <right style="thin">
        <color indexed="64"/>
      </right>
      <top style="thin">
        <color rgb="FF000000"/>
      </top>
      <bottom style="thin">
        <color rgb="FF000000"/>
      </bottom>
      <diagonal/>
    </border>
    <border>
      <left/>
      <right style="thin">
        <color indexed="64"/>
      </right>
      <top style="thin">
        <color rgb="FF000000"/>
      </top>
      <bottom/>
      <diagonal/>
    </border>
    <border>
      <left/>
      <right style="thin">
        <color indexed="64"/>
      </right>
      <top style="thin">
        <color indexed="64"/>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style="thin">
        <color rgb="FF000000"/>
      </top>
      <bottom style="thin">
        <color indexed="64"/>
      </bottom>
      <diagonal/>
    </border>
    <border>
      <left style="medium">
        <color rgb="FF000000"/>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style="medium">
        <color rgb="FF000000"/>
      </right>
      <top style="medium">
        <color indexed="64"/>
      </top>
      <bottom/>
      <diagonal/>
    </border>
    <border>
      <left/>
      <right style="thin">
        <color rgb="FF000000"/>
      </right>
      <top style="medium">
        <color indexed="64"/>
      </top>
      <bottom/>
      <diagonal/>
    </border>
    <border>
      <left style="thin">
        <color rgb="FF000000"/>
      </left>
      <right style="medium">
        <color indexed="64"/>
      </right>
      <top style="medium">
        <color indexed="64"/>
      </top>
      <bottom style="medium">
        <color indexed="64"/>
      </bottom>
      <diagonal/>
    </border>
    <border>
      <left style="medium">
        <color rgb="FF000000"/>
      </left>
      <right style="medium">
        <color indexed="64"/>
      </right>
      <top style="thin">
        <color rgb="FF000000"/>
      </top>
      <bottom style="medium">
        <color rgb="FF000000"/>
      </bottom>
      <diagonal/>
    </border>
    <border>
      <left/>
      <right style="medium">
        <color indexed="64"/>
      </right>
      <top style="thin">
        <color rgb="FF000000"/>
      </top>
      <bottom/>
      <diagonal/>
    </border>
    <border>
      <left style="medium">
        <color indexed="64"/>
      </left>
      <right style="medium">
        <color indexed="64"/>
      </right>
      <top style="thin">
        <color indexed="64"/>
      </top>
      <bottom/>
      <diagonal/>
    </border>
    <border>
      <left/>
      <right style="thin">
        <color indexed="64"/>
      </right>
      <top style="medium">
        <color indexed="64"/>
      </top>
      <bottom/>
      <diagonal/>
    </border>
    <border>
      <left style="medium">
        <color rgb="FF000000"/>
      </left>
      <right style="thin">
        <color indexed="64"/>
      </right>
      <top style="medium">
        <color rgb="FF000000"/>
      </top>
      <bottom style="thin">
        <color rgb="FF000000"/>
      </bottom>
      <diagonal/>
    </border>
    <border>
      <left/>
      <right style="thin">
        <color indexed="64"/>
      </right>
      <top style="medium">
        <color rgb="FF000000"/>
      </top>
      <bottom/>
      <diagonal/>
    </border>
    <border>
      <left style="medium">
        <color rgb="FF000000"/>
      </left>
      <right style="thin">
        <color indexed="64"/>
      </right>
      <top style="thin">
        <color rgb="FF000000"/>
      </top>
      <bottom style="thin">
        <color rgb="FF000000"/>
      </bottom>
      <diagonal/>
    </border>
    <border>
      <left style="medium">
        <color rgb="FF000000"/>
      </left>
      <right style="medium">
        <color rgb="FF000000"/>
      </right>
      <top style="thin">
        <color indexed="64"/>
      </top>
      <bottom style="medium">
        <color indexed="64"/>
      </bottom>
      <diagonal/>
    </border>
    <border>
      <left/>
      <right style="medium">
        <color rgb="FF000000"/>
      </right>
      <top style="thin">
        <color indexed="64"/>
      </top>
      <bottom/>
      <diagonal/>
    </border>
    <border>
      <left style="medium">
        <color indexed="64"/>
      </left>
      <right style="medium">
        <color indexed="64"/>
      </right>
      <top/>
      <bottom style="medium">
        <color indexed="64"/>
      </bottom>
      <diagonal/>
    </border>
    <border>
      <left style="thin">
        <color indexed="8"/>
      </left>
      <right style="thin">
        <color indexed="8"/>
      </right>
      <top style="thin">
        <color indexed="8"/>
      </top>
      <bottom style="thin">
        <color indexed="8"/>
      </bottom>
      <diagonal/>
    </border>
    <border>
      <left/>
      <right/>
      <top style="thin">
        <color indexed="8"/>
      </top>
      <bottom/>
      <diagonal/>
    </border>
    <border>
      <left/>
      <right style="thin">
        <color indexed="8"/>
      </right>
      <top style="thin">
        <color indexed="8"/>
      </top>
      <bottom/>
      <diagonal/>
    </border>
    <border>
      <left style="medium">
        <color rgb="FF000000"/>
      </left>
      <right style="medium">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medium">
        <color rgb="FF000000"/>
      </left>
      <right style="thin">
        <color rgb="FFFFFFFF"/>
      </right>
      <top/>
      <bottom/>
      <diagonal/>
    </border>
    <border>
      <left style="medium">
        <color rgb="FF000000"/>
      </left>
      <right style="thin">
        <color rgb="FF000000"/>
      </right>
      <top style="thin">
        <color rgb="FF000000"/>
      </top>
      <bottom/>
      <diagonal/>
    </border>
    <border>
      <left style="thin">
        <color rgb="FFFFFFFF"/>
      </left>
      <right style="thin">
        <color rgb="FFFFFFFF"/>
      </right>
      <top style="thin">
        <color rgb="FFFFFFFF"/>
      </top>
      <bottom style="thin">
        <color rgb="FFFFFFFF"/>
      </bottom>
      <diagonal/>
    </border>
    <border>
      <left style="medium">
        <color rgb="FF000000"/>
      </left>
      <right style="thin">
        <color rgb="FF000000"/>
      </right>
      <top/>
      <bottom style="medium">
        <color rgb="FF000000"/>
      </bottom>
      <diagonal/>
    </border>
    <border>
      <left style="medium">
        <color rgb="FF000000"/>
      </left>
      <right style="medium">
        <color rgb="FF000000"/>
      </right>
      <top/>
      <bottom style="medium">
        <color rgb="FF000000"/>
      </bottom>
      <diagonal/>
    </border>
  </borders>
  <cellStyleXfs count="2">
    <xf numFmtId="0" fontId="0" fillId="0" borderId="0"/>
    <xf numFmtId="9" fontId="11" fillId="0" borderId="0"/>
  </cellStyleXfs>
  <cellXfs count="336">
    <xf numFmtId="0" fontId="0" fillId="0" borderId="0" pivotButton="0" quotePrefix="0" xfId="0"/>
    <xf numFmtId="0" fontId="5" fillId="0" borderId="0" pivotButton="0" quotePrefix="0" xfId="0"/>
    <xf numFmtId="0" fontId="6" fillId="2" borderId="4" applyAlignment="1" pivotButton="0" quotePrefix="0" xfId="0">
      <alignment horizontal="center"/>
    </xf>
    <xf numFmtId="0" fontId="7" fillId="0" borderId="0" applyAlignment="1" pivotButton="0" quotePrefix="0" xfId="0">
      <alignment vertical="top" wrapText="1"/>
    </xf>
    <xf numFmtId="0" fontId="17" fillId="0" borderId="0" applyAlignment="1" pivotButton="0" quotePrefix="0" xfId="0">
      <alignment horizontal="left" vertical="top" wrapText="1"/>
    </xf>
    <xf numFmtId="0" fontId="17" fillId="0" borderId="4" applyAlignment="1" pivotButton="0" quotePrefix="0" xfId="0">
      <alignment horizontal="left" vertical="top" wrapText="1"/>
    </xf>
    <xf numFmtId="0" fontId="17" fillId="0" borderId="17" applyAlignment="1" pivotButton="0" quotePrefix="0" xfId="0">
      <alignment horizontal="left" vertical="top" wrapText="1"/>
    </xf>
    <xf numFmtId="0" fontId="9" fillId="0" borderId="39" applyAlignment="1" pivotButton="0" quotePrefix="0" xfId="0">
      <alignment vertical="center"/>
    </xf>
    <xf numFmtId="0" fontId="9" fillId="0" borderId="45" applyAlignment="1" pivotButton="0" quotePrefix="0" xfId="0">
      <alignment vertical="center"/>
    </xf>
    <xf numFmtId="0" fontId="17" fillId="0" borderId="4" applyAlignment="1" pivotButton="0" quotePrefix="0" xfId="0">
      <alignment horizontal="center" vertical="center" wrapText="1"/>
    </xf>
    <xf numFmtId="0" fontId="17" fillId="0" borderId="17" applyAlignment="1" pivotButton="0" quotePrefix="0" xfId="0">
      <alignment horizontal="center" vertical="center" wrapText="1"/>
    </xf>
    <xf numFmtId="0" fontId="23" fillId="0" borderId="41" applyAlignment="1" pivotButton="0" quotePrefix="0" xfId="0">
      <alignment horizontal="center" vertical="center" wrapText="1"/>
    </xf>
    <xf numFmtId="0" fontId="17" fillId="0" borderId="81" applyAlignment="1" pivotButton="0" quotePrefix="0" xfId="0">
      <alignment horizontal="center" vertical="center" wrapText="1"/>
    </xf>
    <xf numFmtId="0" fontId="17" fillId="0" borderId="89" applyAlignment="1" pivotButton="0" quotePrefix="0" xfId="0">
      <alignment horizontal="center" vertical="center" wrapText="1"/>
    </xf>
    <xf numFmtId="1" fontId="17" fillId="0" borderId="81" applyAlignment="1" pivotButton="0" quotePrefix="0" xfId="0">
      <alignment horizontal="center" vertical="center" wrapText="1"/>
    </xf>
    <xf numFmtId="0" fontId="17" fillId="0" borderId="82" applyAlignment="1" pivotButton="0" quotePrefix="0" xfId="0">
      <alignment horizontal="center" vertical="center" wrapText="1"/>
    </xf>
    <xf numFmtId="0" fontId="20" fillId="0" borderId="29" applyAlignment="1" pivotButton="0" quotePrefix="0" xfId="0">
      <alignment horizontal="center" vertical="center" wrapText="1"/>
    </xf>
    <xf numFmtId="10" fontId="25" fillId="0" borderId="4" applyAlignment="1" pivotButton="0" quotePrefix="0" xfId="1">
      <alignment horizontal="left" vertical="center" wrapText="1"/>
    </xf>
    <xf numFmtId="0" fontId="25" fillId="0" borderId="4" applyAlignment="1" pivotButton="0" quotePrefix="0" xfId="0">
      <alignment horizontal="left" vertical="center" wrapText="1"/>
    </xf>
    <xf numFmtId="0" fontId="0" fillId="0" borderId="75" applyAlignment="1" pivotButton="0" quotePrefix="0" xfId="0">
      <alignment vertical="center" wrapText="1"/>
    </xf>
    <xf numFmtId="0" fontId="0" fillId="4" borderId="75" applyAlignment="1" pivotButton="0" quotePrefix="0" xfId="0">
      <alignment vertical="center" wrapText="1"/>
    </xf>
    <xf numFmtId="0" fontId="17" fillId="0" borderId="40" applyAlignment="1" pivotButton="0" quotePrefix="0" xfId="0">
      <alignment horizontal="center" vertical="center" wrapText="1"/>
    </xf>
    <xf numFmtId="0" fontId="17" fillId="0" borderId="75" applyAlignment="1" pivotButton="0" quotePrefix="0" xfId="0">
      <alignment horizontal="center" vertical="center" wrapText="1"/>
    </xf>
    <xf numFmtId="0" fontId="17" fillId="0" borderId="16" applyAlignment="1" pivotButton="0" quotePrefix="0" xfId="0">
      <alignment horizontal="center" vertical="center" wrapText="1"/>
    </xf>
    <xf numFmtId="0" fontId="17" fillId="0" borderId="1" applyAlignment="1" pivotButton="0" quotePrefix="0" xfId="0">
      <alignment horizontal="center" vertical="center" wrapText="1"/>
    </xf>
    <xf numFmtId="0" fontId="17" fillId="0" borderId="3" applyAlignment="1" pivotButton="0" quotePrefix="0" xfId="0">
      <alignment horizontal="center" vertical="center" wrapText="1"/>
    </xf>
    <xf numFmtId="0" fontId="17" fillId="0" borderId="2" applyAlignment="1" pivotButton="0" quotePrefix="0" xfId="0">
      <alignment horizontal="center" vertical="center" wrapText="1"/>
    </xf>
    <xf numFmtId="0" fontId="16" fillId="0" borderId="29" applyAlignment="1" pivotButton="0" quotePrefix="0" xfId="0">
      <alignment horizontal="center" vertical="center" wrapText="1"/>
    </xf>
    <xf numFmtId="0" fontId="16" fillId="0" borderId="32" applyAlignment="1" pivotButton="0" quotePrefix="0" xfId="0">
      <alignment horizontal="center" vertical="center" wrapText="1"/>
    </xf>
    <xf numFmtId="0" fontId="17" fillId="0" borderId="85" applyAlignment="1" pivotButton="0" quotePrefix="0" xfId="0">
      <alignment horizontal="center" vertical="center" wrapText="1"/>
    </xf>
    <xf numFmtId="0" fontId="17" fillId="0" borderId="29" applyAlignment="1" pivotButton="0" quotePrefix="0" xfId="0">
      <alignment horizontal="center" vertical="center" wrapText="1"/>
    </xf>
    <xf numFmtId="0" fontId="17" fillId="0" borderId="47" applyAlignment="1" pivotButton="0" quotePrefix="0" xfId="0">
      <alignment horizontal="center" vertical="center" wrapText="1"/>
    </xf>
    <xf numFmtId="0" fontId="17" fillId="0" borderId="54" applyAlignment="1" pivotButton="0" quotePrefix="0" xfId="0">
      <alignment horizontal="center" vertical="center" wrapText="1"/>
    </xf>
    <xf numFmtId="0" fontId="22" fillId="0" borderId="4" applyAlignment="1" pivotButton="0" quotePrefix="0" xfId="0">
      <alignment horizontal="center" vertical="center" wrapText="1"/>
    </xf>
    <xf numFmtId="0" fontId="22" fillId="0" borderId="40" applyAlignment="1" pivotButton="0" quotePrefix="0" xfId="0">
      <alignment horizontal="center" vertical="center" wrapText="1"/>
    </xf>
    <xf numFmtId="0" fontId="17" fillId="0" borderId="40" applyAlignment="1" pivotButton="0" quotePrefix="1" xfId="0">
      <alignment horizontal="center" vertical="center" wrapText="1"/>
    </xf>
    <xf numFmtId="0" fontId="17" fillId="0" borderId="46" applyAlignment="1" pivotButton="0" quotePrefix="0" xfId="0">
      <alignment horizontal="center" vertical="center" wrapText="1"/>
    </xf>
    <xf numFmtId="0" fontId="17" fillId="0" borderId="22" applyAlignment="1" pivotButton="0" quotePrefix="0" xfId="0">
      <alignment horizontal="center" vertical="center" wrapText="1"/>
    </xf>
    <xf numFmtId="0" fontId="17" fillId="0" borderId="42" applyAlignment="1" pivotButton="0" quotePrefix="0" xfId="0">
      <alignment horizontal="center" vertical="center" wrapText="1"/>
    </xf>
    <xf numFmtId="0" fontId="29" fillId="0" borderId="91" applyAlignment="1" pivotButton="0" quotePrefix="0" xfId="0">
      <alignment horizontal="left" vertical="center" wrapText="1"/>
    </xf>
    <xf numFmtId="0" fontId="29" fillId="0" borderId="92" applyAlignment="1" pivotButton="0" quotePrefix="0" xfId="0">
      <alignment horizontal="left" vertical="center" wrapText="1"/>
    </xf>
    <xf numFmtId="0" fontId="23" fillId="0" borderId="18" applyAlignment="1" pivotButton="0" quotePrefix="0" xfId="0">
      <alignment horizontal="center" vertical="center" wrapText="1"/>
    </xf>
    <xf numFmtId="0" fontId="2" fillId="0" borderId="20" pivotButton="0" quotePrefix="0" xfId="0"/>
    <xf numFmtId="0" fontId="23" fillId="0" borderId="30" applyAlignment="1" pivotButton="0" quotePrefix="0" xfId="0">
      <alignment horizontal="center" vertical="center" wrapText="1"/>
    </xf>
    <xf numFmtId="0" fontId="2" fillId="0" borderId="27" pivotButton="0" quotePrefix="0" xfId="0"/>
    <xf numFmtId="0" fontId="2" fillId="0" borderId="48" pivotButton="0" quotePrefix="0" xfId="0"/>
    <xf numFmtId="0" fontId="17" fillId="0" borderId="31" applyAlignment="1" pivotButton="0" quotePrefix="0" xfId="0">
      <alignment horizontal="center" vertical="center" wrapText="1"/>
    </xf>
    <xf numFmtId="0" fontId="2" fillId="0" borderId="48" applyAlignment="1" pivotButton="0" quotePrefix="0" xfId="0">
      <alignment horizontal="center" vertical="center"/>
    </xf>
    <xf numFmtId="0" fontId="23" fillId="0" borderId="16" applyAlignment="1" pivotButton="0" quotePrefix="0" xfId="0">
      <alignment horizontal="center" vertical="center" wrapText="1"/>
    </xf>
    <xf numFmtId="0" fontId="2" fillId="0" borderId="41" pivotButton="0" quotePrefix="0" xfId="0"/>
    <xf numFmtId="0" fontId="2" fillId="0" borderId="2" pivotButton="0" quotePrefix="0" xfId="0"/>
    <xf numFmtId="164" fontId="21" fillId="0" borderId="16" applyAlignment="1" pivotButton="0" quotePrefix="0" xfId="0">
      <alignment horizontal="center" vertical="center" wrapText="1"/>
    </xf>
    <xf numFmtId="0" fontId="17" fillId="0" borderId="2" applyAlignment="1" pivotButton="0" quotePrefix="0" xfId="0">
      <alignment horizontal="center" vertical="center" wrapText="1"/>
    </xf>
    <xf numFmtId="0" fontId="2" fillId="0" borderId="3" applyAlignment="1" pivotButton="0" quotePrefix="0" xfId="0">
      <alignment horizontal="center" vertical="center"/>
    </xf>
    <xf numFmtId="0" fontId="17" fillId="0" borderId="16" applyAlignment="1" pivotButton="0" quotePrefix="0" xfId="0">
      <alignment horizontal="center" vertical="center" wrapText="1"/>
    </xf>
    <xf numFmtId="0" fontId="17" fillId="0" borderId="1" applyAlignment="1" pivotButton="0" quotePrefix="0" xfId="0">
      <alignment horizontal="center" vertical="center" wrapText="1"/>
    </xf>
    <xf numFmtId="0" fontId="21" fillId="0" borderId="6" applyAlignment="1" pivotButton="0" quotePrefix="0" xfId="0">
      <alignment horizontal="center" vertical="top" wrapText="1"/>
    </xf>
    <xf numFmtId="0" fontId="2" fillId="0" borderId="6" pivotButton="0" quotePrefix="0" xfId="0"/>
    <xf numFmtId="0" fontId="16" fillId="0" borderId="0" applyAlignment="1" pivotButton="0" quotePrefix="0" xfId="0">
      <alignment horizontal="center" vertical="top" wrapText="1"/>
    </xf>
    <xf numFmtId="0" fontId="14" fillId="0" borderId="0" pivotButton="0" quotePrefix="0" xfId="0"/>
    <xf numFmtId="0" fontId="25" fillId="0" borderId="35" applyAlignment="1" pivotButton="0" quotePrefix="0" xfId="0">
      <alignment horizontal="left" vertical="top" wrapText="1"/>
    </xf>
    <xf numFmtId="0" fontId="2" fillId="0" borderId="36" pivotButton="0" quotePrefix="0" xfId="0"/>
    <xf numFmtId="0" fontId="20" fillId="0" borderId="35" applyAlignment="1" pivotButton="0" quotePrefix="0" xfId="0">
      <alignment horizontal="left" vertical="top" wrapText="1"/>
    </xf>
    <xf numFmtId="0" fontId="2" fillId="0" borderId="42" pivotButton="0" quotePrefix="0" xfId="0"/>
    <xf numFmtId="0" fontId="2" fillId="0" borderId="49" pivotButton="0" quotePrefix="0" xfId="0"/>
    <xf numFmtId="0" fontId="2" fillId="0" borderId="43" pivotButton="0" quotePrefix="0" xfId="0"/>
    <xf numFmtId="0" fontId="27" fillId="0" borderId="0" applyAlignment="1" pivotButton="0" quotePrefix="0" xfId="0">
      <alignment horizontal="left" vertical="center" wrapText="1"/>
    </xf>
    <xf numFmtId="0" fontId="30" fillId="0" borderId="0" applyAlignment="1" pivotButton="0" quotePrefix="0" xfId="0">
      <alignment horizontal="center" wrapText="1"/>
    </xf>
    <xf numFmtId="0" fontId="18" fillId="0" borderId="19" applyAlignment="1" pivotButton="0" quotePrefix="0" xfId="0">
      <alignment horizontal="center" wrapText="1"/>
    </xf>
    <xf numFmtId="0" fontId="2" fillId="0" borderId="19" pivotButton="0" quotePrefix="0" xfId="0"/>
    <xf numFmtId="0" fontId="25" fillId="0" borderId="22" applyAlignment="1" pivotButton="0" quotePrefix="0" xfId="0">
      <alignment horizontal="left" vertical="center" wrapText="1"/>
    </xf>
    <xf numFmtId="0" fontId="2" fillId="0" borderId="53" pivotButton="0" quotePrefix="0" xfId="0"/>
    <xf numFmtId="0" fontId="2" fillId="0" borderId="51" pivotButton="0" quotePrefix="0" xfId="0"/>
    <xf numFmtId="0" fontId="20" fillId="0" borderId="35" applyAlignment="1" pivotButton="0" quotePrefix="0" xfId="0">
      <alignment horizontal="left" vertical="center" wrapText="1"/>
    </xf>
    <xf numFmtId="0" fontId="2" fillId="0" borderId="35" pivotButton="0" quotePrefix="0" xfId="0"/>
    <xf numFmtId="0" fontId="18" fillId="0" borderId="0" applyAlignment="1" pivotButton="0" quotePrefix="0" xfId="0">
      <alignment horizontal="center" wrapText="1"/>
    </xf>
    <xf numFmtId="0" fontId="16" fillId="0" borderId="65" applyAlignment="1" pivotButton="0" quotePrefix="0" xfId="0">
      <alignment horizontal="left" vertical="center" wrapText="1"/>
    </xf>
    <xf numFmtId="0" fontId="2" fillId="0" borderId="66" pivotButton="0" quotePrefix="0" xfId="0"/>
    <xf numFmtId="0" fontId="2" fillId="0" borderId="67" pivotButton="0" quotePrefix="0" xfId="0"/>
    <xf numFmtId="0" fontId="2" fillId="0" borderId="68" pivotButton="0" quotePrefix="0" xfId="0"/>
    <xf numFmtId="0" fontId="2" fillId="0" borderId="63" pivotButton="0" quotePrefix="0" xfId="0"/>
    <xf numFmtId="0" fontId="2" fillId="0" borderId="69" pivotButton="0" quotePrefix="0" xfId="0"/>
    <xf numFmtId="0" fontId="2" fillId="0" borderId="70" pivotButton="0" quotePrefix="0" xfId="0"/>
    <xf numFmtId="0" fontId="2" fillId="0" borderId="71" pivotButton="0" quotePrefix="0" xfId="0"/>
    <xf numFmtId="0" fontId="20" fillId="0" borderId="13" applyAlignment="1" pivotButton="0" quotePrefix="0" xfId="0">
      <alignment horizontal="center" vertical="center" wrapText="1"/>
    </xf>
    <xf numFmtId="0" fontId="2" fillId="0" borderId="50" pivotButton="0" quotePrefix="0" xfId="0"/>
    <xf numFmtId="0" fontId="25" fillId="0" borderId="46" applyAlignment="1" pivotButton="0" quotePrefix="0" xfId="0">
      <alignment horizontal="left" vertical="center" wrapText="1"/>
    </xf>
    <xf numFmtId="0" fontId="2" fillId="0" borderId="62" pivotButton="0" quotePrefix="0" xfId="0"/>
    <xf numFmtId="0" fontId="2" fillId="0" borderId="18" pivotButton="0" quotePrefix="0" xfId="0"/>
    <xf numFmtId="0" fontId="2" fillId="0" borderId="56" pivotButton="0" quotePrefix="0" xfId="0"/>
    <xf numFmtId="0" fontId="2" fillId="0" borderId="54" pivotButton="0" quotePrefix="0" xfId="0"/>
    <xf numFmtId="0" fontId="16" fillId="0" borderId="0" applyAlignment="1" pivotButton="0" quotePrefix="0" xfId="0">
      <alignment horizontal="center" vertical="center" wrapText="1"/>
    </xf>
    <xf numFmtId="0" fontId="26" fillId="0" borderId="50" applyAlignment="1" pivotButton="0" quotePrefix="0" xfId="0">
      <alignment horizontal="center" vertical="top" wrapText="1"/>
    </xf>
    <xf numFmtId="0" fontId="15" fillId="0" borderId="13" applyAlignment="1" pivotButton="0" quotePrefix="0" xfId="0">
      <alignment horizontal="center" vertical="center" wrapText="1"/>
    </xf>
    <xf numFmtId="10" fontId="25" fillId="0" borderId="46" applyAlignment="1" pivotButton="0" quotePrefix="0" xfId="1">
      <alignment horizontal="left" vertical="center" wrapText="1"/>
    </xf>
    <xf numFmtId="10" fontId="2" fillId="0" borderId="62" pivotButton="0" quotePrefix="0" xfId="1"/>
    <xf numFmtId="10" fontId="25" fillId="0" borderId="22" applyAlignment="1" pivotButton="0" quotePrefix="0" xfId="1">
      <alignment horizontal="left" vertical="center" wrapText="1"/>
    </xf>
    <xf numFmtId="10" fontId="2" fillId="0" borderId="53" pivotButton="0" quotePrefix="0" xfId="1"/>
    <xf numFmtId="10" fontId="2" fillId="0" borderId="42" pivotButton="0" quotePrefix="0" xfId="1"/>
    <xf numFmtId="10" fontId="2" fillId="0" borderId="51" pivotButton="0" quotePrefix="0" xfId="1"/>
    <xf numFmtId="0" fontId="16" fillId="0" borderId="0" applyAlignment="1" pivotButton="0" quotePrefix="0" xfId="0">
      <alignment horizontal="left" vertical="top" wrapText="1"/>
    </xf>
    <xf numFmtId="0" fontId="16" fillId="0" borderId="0" applyAlignment="1" pivotButton="0" quotePrefix="0" xfId="0">
      <alignment horizontal="left" vertical="center" wrapText="1"/>
    </xf>
    <xf numFmtId="0" fontId="16" fillId="0" borderId="49" applyAlignment="1" pivotButton="0" quotePrefix="0" xfId="0">
      <alignment horizontal="center" vertical="center" wrapText="1"/>
    </xf>
    <xf numFmtId="0" fontId="15" fillId="0" borderId="52" applyAlignment="1" pivotButton="0" quotePrefix="0" xfId="0">
      <alignment horizontal="center" wrapText="1"/>
    </xf>
    <xf numFmtId="0" fontId="2" fillId="0" borderId="59" pivotButton="0" quotePrefix="0" xfId="0"/>
    <xf numFmtId="0" fontId="2" fillId="0" borderId="23" pivotButton="0" quotePrefix="0" xfId="0"/>
    <xf numFmtId="9" fontId="25" fillId="0" borderId="46" applyAlignment="1" pivotButton="0" quotePrefix="0" xfId="1">
      <alignment horizontal="left" vertical="center" wrapText="1"/>
    </xf>
    <xf numFmtId="9" fontId="2" fillId="0" borderId="62" pivotButton="0" quotePrefix="0" xfId="1"/>
    <xf numFmtId="0" fontId="15" fillId="0" borderId="50" applyAlignment="1" pivotButton="0" quotePrefix="0" xfId="0">
      <alignment horizontal="center" vertical="center" wrapText="1"/>
    </xf>
    <xf numFmtId="10" fontId="25" fillId="0" borderId="1" applyAlignment="1" pivotButton="0" quotePrefix="0" xfId="1">
      <alignment horizontal="left" vertical="center" wrapText="1"/>
    </xf>
    <xf numFmtId="10" fontId="2" fillId="0" borderId="41" pivotButton="0" quotePrefix="0" xfId="1"/>
    <xf numFmtId="0" fontId="25" fillId="0" borderId="1" applyAlignment="1" pivotButton="0" quotePrefix="0" xfId="0">
      <alignment horizontal="left" vertical="center" wrapText="1"/>
    </xf>
    <xf numFmtId="0" fontId="20" fillId="0" borderId="52" applyAlignment="1" pivotButton="0" quotePrefix="0" xfId="0">
      <alignment horizontal="center" vertical="center" wrapText="1"/>
    </xf>
    <xf numFmtId="9" fontId="25" fillId="0" borderId="22" applyAlignment="1" pivotButton="0" quotePrefix="0" xfId="1">
      <alignment horizontal="left" vertical="center" wrapText="1"/>
    </xf>
    <xf numFmtId="9" fontId="2" fillId="0" borderId="53" pivotButton="0" quotePrefix="0" xfId="1"/>
    <xf numFmtId="9" fontId="2" fillId="0" borderId="42" pivotButton="0" quotePrefix="0" xfId="1"/>
    <xf numFmtId="9" fontId="2" fillId="0" borderId="51" pivotButton="0" quotePrefix="0" xfId="1"/>
    <xf numFmtId="0" fontId="25" fillId="0" borderId="46" applyAlignment="1" pivotButton="0" quotePrefix="0" xfId="0">
      <alignment horizontal="center" vertical="center" wrapText="1"/>
    </xf>
    <xf numFmtId="0" fontId="25" fillId="0" borderId="22" applyAlignment="1" pivotButton="0" quotePrefix="0" xfId="0">
      <alignment horizontal="center" vertical="center" wrapText="1"/>
    </xf>
    <xf numFmtId="0" fontId="21" fillId="3" borderId="46" applyAlignment="1" pivotButton="0" quotePrefix="0" xfId="0">
      <alignment horizontal="center" vertical="center" wrapText="1"/>
    </xf>
    <xf numFmtId="0" fontId="2" fillId="0" borderId="64" pivotButton="0" quotePrefix="0" xfId="0"/>
    <xf numFmtId="0" fontId="21" fillId="3" borderId="22" applyAlignment="1" pivotButton="0" quotePrefix="0" xfId="0">
      <alignment horizontal="center" vertical="center" wrapText="1"/>
    </xf>
    <xf numFmtId="0" fontId="2" fillId="0" borderId="21" pivotButton="0" quotePrefix="0" xfId="0"/>
    <xf numFmtId="0" fontId="19" fillId="0" borderId="0" applyAlignment="1" pivotButton="0" quotePrefix="0" xfId="0">
      <alignment horizontal="left" vertical="center" wrapText="1"/>
    </xf>
    <xf numFmtId="0" fontId="20" fillId="0" borderId="22" applyAlignment="1" pivotButton="0" quotePrefix="0" xfId="0">
      <alignment horizontal="left" vertical="center" wrapText="1"/>
    </xf>
    <xf numFmtId="0" fontId="19" fillId="0" borderId="5" applyAlignment="1" pivotButton="0" quotePrefix="0" xfId="0">
      <alignment horizontal="left" vertical="top" wrapText="1"/>
    </xf>
    <xf numFmtId="0" fontId="2" fillId="0" borderId="12" pivotButton="0" quotePrefix="0" xfId="0"/>
    <xf numFmtId="0" fontId="24" fillId="0" borderId="5" applyAlignment="1" pivotButton="0" quotePrefix="0" xfId="0">
      <alignment horizontal="left" vertical="top" wrapText="1"/>
    </xf>
    <xf numFmtId="0" fontId="20" fillId="0" borderId="60" applyAlignment="1" pivotButton="0" quotePrefix="0" xfId="0">
      <alignment horizontal="center" vertical="center" wrapText="1"/>
    </xf>
    <xf numFmtId="0" fontId="2" fillId="0" borderId="10" pivotButton="0" quotePrefix="0" xfId="0"/>
    <xf numFmtId="0" fontId="2" fillId="0" borderId="61" pivotButton="0" quotePrefix="0" xfId="0"/>
    <xf numFmtId="0" fontId="20" fillId="0" borderId="31" applyAlignment="1" pivotButton="0" quotePrefix="0" xfId="0">
      <alignment horizontal="center" vertical="center" wrapText="1"/>
    </xf>
    <xf numFmtId="0" fontId="16" fillId="0" borderId="13" applyAlignment="1" pivotButton="0" quotePrefix="0" xfId="0">
      <alignment horizontal="left" vertical="center" wrapText="1"/>
    </xf>
    <xf numFmtId="164" fontId="21" fillId="3" borderId="46" applyAlignment="1" pivotButton="0" quotePrefix="0" xfId="0">
      <alignment horizontal="center" vertical="center" wrapText="1"/>
    </xf>
    <xf numFmtId="164" fontId="21" fillId="3" borderId="22" applyAlignment="1" pivotButton="0" quotePrefix="0" xfId="0">
      <alignment horizontal="center" vertical="center" wrapText="1"/>
    </xf>
    <xf numFmtId="0" fontId="15" fillId="0" borderId="13" applyAlignment="1" pivotButton="0" quotePrefix="0" xfId="0">
      <alignment horizontal="right" vertical="center" wrapText="1"/>
    </xf>
    <xf numFmtId="0" fontId="2" fillId="0" borderId="13" pivotButton="0" quotePrefix="0" xfId="0"/>
    <xf numFmtId="0" fontId="26" fillId="0" borderId="0" applyAlignment="1" pivotButton="0" quotePrefix="0" xfId="0">
      <alignment horizontal="left" vertical="center" wrapText="1"/>
    </xf>
    <xf numFmtId="0" fontId="25" fillId="0" borderId="35" applyAlignment="1" pivotButton="0" quotePrefix="0" xfId="0">
      <alignment horizontal="center" vertical="top" wrapText="1"/>
    </xf>
    <xf numFmtId="164" fontId="21" fillId="0" borderId="30" applyAlignment="1" pivotButton="0" quotePrefix="0" xfId="0">
      <alignment horizontal="center" vertical="center" wrapText="1"/>
    </xf>
    <xf numFmtId="0" fontId="2" fillId="0" borderId="28" pivotButton="0" quotePrefix="0" xfId="0"/>
    <xf numFmtId="0" fontId="21" fillId="0" borderId="55" applyAlignment="1" pivotButton="0" quotePrefix="0" xfId="0">
      <alignment horizontal="center" vertical="center" wrapText="1"/>
    </xf>
    <xf numFmtId="0" fontId="2" fillId="0" borderId="28" applyAlignment="1" pivotButton="0" quotePrefix="0" xfId="0">
      <alignment horizontal="center" vertical="center"/>
    </xf>
    <xf numFmtId="0" fontId="28" fillId="0" borderId="72" applyAlignment="1" pivotButton="0" quotePrefix="0" xfId="0">
      <alignment horizontal="left" vertical="center" wrapText="1"/>
    </xf>
    <xf numFmtId="0" fontId="28" fillId="0" borderId="73" applyAlignment="1" pivotButton="0" quotePrefix="0" xfId="0">
      <alignment horizontal="left" vertical="center" wrapText="1"/>
    </xf>
    <xf numFmtId="0" fontId="28" fillId="0" borderId="74" applyAlignment="1" pivotButton="0" quotePrefix="0" xfId="0">
      <alignment horizontal="left" vertical="center" wrapText="1"/>
    </xf>
    <xf numFmtId="0" fontId="23" fillId="0" borderId="57" applyAlignment="1" pivotButton="0" quotePrefix="0" xfId="0">
      <alignment horizontal="center" vertical="center" wrapText="1"/>
    </xf>
    <xf numFmtId="0" fontId="2" fillId="0" borderId="58" pivotButton="0" quotePrefix="0" xfId="0"/>
    <xf numFmtId="165" fontId="21" fillId="0" borderId="30" applyAlignment="1" pivotButton="0" quotePrefix="0" xfId="0">
      <alignment horizontal="center" vertical="center" wrapText="1"/>
    </xf>
    <xf numFmtId="165" fontId="2" fillId="0" borderId="27" pivotButton="0" quotePrefix="0" xfId="0"/>
    <xf numFmtId="0" fontId="21" fillId="0" borderId="24" applyAlignment="1" pivotButton="0" quotePrefix="0" xfId="0">
      <alignment horizontal="center" vertical="center" wrapText="1"/>
    </xf>
    <xf numFmtId="0" fontId="2" fillId="0" borderId="25" pivotButton="0" quotePrefix="0" xfId="0"/>
    <xf numFmtId="0" fontId="2" fillId="0" borderId="26" pivotButton="0" quotePrefix="0" xfId="0"/>
    <xf numFmtId="0" fontId="17" fillId="0" borderId="55" applyAlignment="1" pivotButton="0" quotePrefix="0" xfId="0">
      <alignment horizontal="center" vertical="center" wrapText="1"/>
    </xf>
    <xf numFmtId="0" fontId="2" fillId="0" borderId="56" applyAlignment="1" pivotButton="0" quotePrefix="0" xfId="0">
      <alignment horizontal="center" vertical="center"/>
    </xf>
    <xf numFmtId="0" fontId="2" fillId="0" borderId="41" applyAlignment="1" pivotButton="0" quotePrefix="0" xfId="0">
      <alignment horizontal="center" vertical="center"/>
    </xf>
    <xf numFmtId="0" fontId="23" fillId="0" borderId="1" applyAlignment="1" pivotButton="0" quotePrefix="0" xfId="0">
      <alignment horizontal="center" vertical="center" wrapText="1"/>
    </xf>
    <xf numFmtId="164" fontId="21" fillId="0" borderId="93" applyAlignment="1" pivotButton="0" quotePrefix="0" xfId="0">
      <alignment horizontal="center" vertical="center" wrapText="1"/>
    </xf>
    <xf numFmtId="164" fontId="21" fillId="0" borderId="95" applyAlignment="1" pivotButton="0" quotePrefix="0" xfId="0">
      <alignment horizontal="center" vertical="center" wrapText="1"/>
    </xf>
    <xf numFmtId="0" fontId="9" fillId="0" borderId="76" applyAlignment="1" pivotButton="0" quotePrefix="0" xfId="0">
      <alignment horizontal="center" vertical="center" wrapText="1"/>
    </xf>
    <xf numFmtId="0" fontId="9" fillId="0" borderId="77" pivotButton="0" quotePrefix="0" xfId="0"/>
    <xf numFmtId="0" fontId="9" fillId="0" borderId="78" pivotButton="0" quotePrefix="0" xfId="0"/>
    <xf numFmtId="0" fontId="17" fillId="0" borderId="79" applyAlignment="1" pivotButton="0" quotePrefix="0" xfId="0">
      <alignment horizontal="center" vertical="center" wrapText="1"/>
    </xf>
    <xf numFmtId="0" fontId="2" fillId="0" borderId="80" applyAlignment="1" pivotButton="0" quotePrefix="0" xfId="0">
      <alignment horizontal="center" vertical="center"/>
    </xf>
    <xf numFmtId="0" fontId="17" fillId="0" borderId="80" applyAlignment="1" pivotButton="0" quotePrefix="0" xfId="0">
      <alignment horizontal="center" vertical="center" wrapText="1"/>
    </xf>
    <xf numFmtId="0" fontId="17" fillId="0" borderId="83" applyAlignment="1" pivotButton="0" quotePrefix="0" xfId="0">
      <alignment horizontal="center" vertical="center" wrapText="1"/>
    </xf>
    <xf numFmtId="0" fontId="17" fillId="0" borderId="88" applyAlignment="1" pivotButton="0" quotePrefix="0" xfId="0">
      <alignment horizontal="center" vertical="center" wrapText="1"/>
    </xf>
    <xf numFmtId="164" fontId="21" fillId="0" borderId="60" applyAlignment="1" pivotButton="0" quotePrefix="0" xfId="0">
      <alignment horizontal="center" vertical="center" wrapText="1"/>
    </xf>
    <xf numFmtId="164" fontId="21" fillId="0" borderId="94" applyAlignment="1" pivotButton="0" quotePrefix="0" xfId="0">
      <alignment horizontal="center" vertical="center" wrapText="1"/>
    </xf>
    <xf numFmtId="0" fontId="2" fillId="0" borderId="82" applyAlignment="1" pivotButton="0" quotePrefix="0" xfId="0">
      <alignment horizontal="center" vertical="center"/>
    </xf>
    <xf numFmtId="0" fontId="17" fillId="0" borderId="84" applyAlignment="1" pivotButton="0" quotePrefix="0" xfId="0">
      <alignment horizontal="center" vertical="center" wrapText="1"/>
    </xf>
    <xf numFmtId="0" fontId="2" fillId="0" borderId="86" applyAlignment="1" pivotButton="0" quotePrefix="0" xfId="0">
      <alignment horizontal="center" vertical="center"/>
    </xf>
    <xf numFmtId="0" fontId="2" fillId="0" borderId="87" applyAlignment="1" pivotButton="0" quotePrefix="0" xfId="0">
      <alignment horizontal="center" vertical="center"/>
    </xf>
    <xf numFmtId="0" fontId="23" fillId="0" borderId="27" applyAlignment="1" pivotButton="0" quotePrefix="0" xfId="0">
      <alignment horizontal="center" vertical="center" wrapText="1"/>
    </xf>
    <xf numFmtId="164" fontId="21" fillId="0" borderId="44" applyAlignment="1" pivotButton="0" quotePrefix="0" xfId="0">
      <alignment horizontal="center" vertical="center" wrapText="1"/>
    </xf>
    <xf numFmtId="0" fontId="17" fillId="0" borderId="22" applyAlignment="1" pivotButton="0" quotePrefix="0" xfId="0">
      <alignment horizontal="center" vertical="center" wrapText="1"/>
    </xf>
    <xf numFmtId="0" fontId="2" fillId="0" borderId="23" applyAlignment="1" pivotButton="0" quotePrefix="0" xfId="0">
      <alignment horizontal="center" vertical="center"/>
    </xf>
    <xf numFmtId="164" fontId="21" fillId="0" borderId="96" applyAlignment="1" pivotButton="0" quotePrefix="0" xfId="0">
      <alignment horizontal="center" vertical="center" wrapText="1"/>
    </xf>
    <xf numFmtId="164" fontId="21" fillId="0" borderId="97" applyAlignment="1" pivotButton="0" quotePrefix="0" xfId="0">
      <alignment horizontal="center" vertical="center" wrapText="1"/>
    </xf>
    <xf numFmtId="0" fontId="17" fillId="0" borderId="3" applyAlignment="1" pivotButton="0" quotePrefix="0" xfId="0">
      <alignment horizontal="center" vertical="center" wrapText="1"/>
    </xf>
    <xf numFmtId="0" fontId="17" fillId="0" borderId="41" applyAlignment="1" pivotButton="0" quotePrefix="0" xfId="0">
      <alignment horizontal="center" vertical="center" wrapText="1"/>
    </xf>
    <xf numFmtId="0" fontId="3" fillId="0" borderId="22" applyAlignment="1" pivotButton="0" quotePrefix="0" xfId="0">
      <alignment horizontal="center" vertical="top" wrapText="1"/>
    </xf>
    <xf numFmtId="0" fontId="23" fillId="0" borderId="2" applyAlignment="1" pivotButton="0" quotePrefix="0" xfId="0">
      <alignment horizontal="center" vertical="center" wrapText="1"/>
    </xf>
    <xf numFmtId="0" fontId="23" fillId="0" borderId="41" applyAlignment="1" pivotButton="0" quotePrefix="0" xfId="0">
      <alignment horizontal="center" vertical="center" wrapText="1"/>
    </xf>
    <xf numFmtId="0" fontId="16" fillId="0" borderId="10" applyAlignment="1" pivotButton="0" quotePrefix="0" xfId="0">
      <alignment horizontal="center" vertical="center" wrapText="1"/>
    </xf>
    <xf numFmtId="0" fontId="2" fillId="0" borderId="11" pivotButton="0" quotePrefix="0" xfId="0"/>
    <xf numFmtId="0" fontId="17" fillId="0" borderId="90" applyAlignment="1" pivotButton="0" quotePrefix="0" xfId="0">
      <alignment horizontal="center" vertical="center" wrapText="1"/>
    </xf>
    <xf numFmtId="0" fontId="17" fillId="0" borderId="11" applyAlignment="1" pivotButton="0" quotePrefix="0" xfId="0">
      <alignment horizontal="center" vertical="center" wrapText="1"/>
    </xf>
    <xf numFmtId="0" fontId="17" fillId="0" borderId="61" applyAlignment="1" pivotButton="0" quotePrefix="0" xfId="0">
      <alignment horizontal="center" vertical="center" wrapText="1"/>
    </xf>
    <xf numFmtId="0" fontId="17" fillId="0" borderId="16" applyAlignment="1" pivotButton="0" quotePrefix="0" xfId="0">
      <alignment horizontal="left" vertical="top" wrapText="1"/>
    </xf>
    <xf numFmtId="0" fontId="2" fillId="0" borderId="3" pivotButton="0" quotePrefix="0" xfId="0"/>
    <xf numFmtId="0" fontId="17" fillId="0" borderId="1" applyAlignment="1" pivotButton="0" quotePrefix="0" xfId="0">
      <alignment horizontal="left" vertical="top" wrapText="1"/>
    </xf>
    <xf numFmtId="0" fontId="13" fillId="0" borderId="0" applyAlignment="1" pivotButton="0" quotePrefix="0" xfId="0">
      <alignment horizontal="center" vertical="top" wrapText="1"/>
    </xf>
    <xf numFmtId="0" fontId="15" fillId="0" borderId="0" applyAlignment="1" pivotButton="0" quotePrefix="0" xfId="0">
      <alignment horizontal="center" vertical="top" wrapText="1"/>
    </xf>
    <xf numFmtId="0" fontId="16" fillId="0" borderId="0" applyAlignment="1" pivotButton="0" quotePrefix="0" xfId="0">
      <alignment horizontal="right" vertical="center" wrapText="1"/>
    </xf>
    <xf numFmtId="0" fontId="18"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7" fillId="0" borderId="22" applyAlignment="1" pivotButton="0" quotePrefix="0" xfId="0">
      <alignment horizontal="center" vertical="top" wrapText="1"/>
    </xf>
    <xf numFmtId="0" fontId="16" fillId="0" borderId="30" applyAlignment="1" pivotButton="0" quotePrefix="0" xfId="0">
      <alignment horizontal="center" vertical="center" wrapText="1"/>
    </xf>
    <xf numFmtId="0" fontId="16" fillId="0" borderId="31" applyAlignment="1" pivotButton="0" quotePrefix="0" xfId="0">
      <alignment horizontal="center" vertical="center" wrapText="1"/>
    </xf>
    <xf numFmtId="0" fontId="12" fillId="0" borderId="5" applyAlignment="1" pivotButton="0" quotePrefix="0" xfId="0">
      <alignment horizontal="center" vertical="center" wrapText="1"/>
    </xf>
    <xf numFmtId="0" fontId="20" fillId="0" borderId="5" applyAlignment="1" pivotButton="0" quotePrefix="0" xfId="0">
      <alignment horizontal="center" vertical="center" wrapText="1"/>
    </xf>
    <xf numFmtId="0" fontId="17" fillId="0" borderId="2" applyAlignment="1" pivotButton="0" quotePrefix="0" xfId="0">
      <alignment horizontal="left" vertical="top" wrapText="1"/>
    </xf>
    <xf numFmtId="0" fontId="3" fillId="0" borderId="0" applyAlignment="1" pivotButton="0" quotePrefix="0" xfId="0">
      <alignment horizontal="center" wrapText="1"/>
    </xf>
    <xf numFmtId="0" fontId="0" fillId="0" borderId="0" pivotButton="0" quotePrefix="0" xfId="0"/>
    <xf numFmtId="0" fontId="4" fillId="0" borderId="2" pivotButton="0" quotePrefix="0" xfId="0"/>
    <xf numFmtId="0" fontId="4" fillId="0" borderId="3" pivotButton="0" quotePrefix="0" xfId="0"/>
    <xf numFmtId="0" fontId="20" fillId="0" borderId="33" applyAlignment="1" pivotButton="0" quotePrefix="0" xfId="0">
      <alignment horizontal="center" vertical="center" wrapText="1"/>
    </xf>
    <xf numFmtId="0" fontId="2" fillId="0" borderId="34" pivotButton="0" quotePrefix="0" xfId="0"/>
    <xf numFmtId="164" fontId="21" fillId="0" borderId="37" applyAlignment="1" pivotButton="0" quotePrefix="0" xfId="0">
      <alignment horizontal="center" vertical="center" wrapText="1"/>
    </xf>
    <xf numFmtId="0" fontId="2" fillId="0" borderId="38" pivotButton="0" quotePrefix="0" xfId="0"/>
    <xf numFmtId="0" fontId="19" fillId="0" borderId="5" applyAlignment="1" pivotButton="0" quotePrefix="0" xfId="0">
      <alignment horizontal="center" vertical="center" wrapText="1"/>
    </xf>
    <xf numFmtId="0" fontId="2" fillId="0" borderId="0" pivotButton="0" quotePrefix="0" xfId="0"/>
    <xf numFmtId="0" fontId="19" fillId="0" borderId="7" applyAlignment="1" pivotButton="0" quotePrefix="0" xfId="0">
      <alignment horizontal="center" vertical="center" wrapText="1"/>
    </xf>
    <xf numFmtId="0" fontId="2" fillId="0" borderId="8" pivotButton="0" quotePrefix="0" xfId="0"/>
    <xf numFmtId="0" fontId="2" fillId="0" borderId="9" pivotButton="0" quotePrefix="0" xfId="0"/>
    <xf numFmtId="0" fontId="2" fillId="0" borderId="14" pivotButton="0" quotePrefix="0" xfId="0"/>
    <xf numFmtId="0" fontId="2" fillId="0" borderId="15" pivotButton="0" quotePrefix="0" xfId="0"/>
    <xf numFmtId="164" fontId="21" fillId="0" borderId="98" applyAlignment="1" pivotButton="0" quotePrefix="0" xfId="0">
      <alignment horizontal="center" vertical="center" wrapText="1"/>
    </xf>
    <xf numFmtId="0" fontId="18" fillId="0" borderId="4" applyAlignment="1" pivotButton="0" quotePrefix="0" xfId="0">
      <alignment horizontal="center" vertical="center" wrapText="1"/>
    </xf>
    <xf numFmtId="0" fontId="0" fillId="0" borderId="2" pivotButton="0" quotePrefix="0" xfId="0"/>
    <xf numFmtId="0" fontId="0" fillId="0" borderId="3" pivotButton="0" quotePrefix="0" xfId="0"/>
    <xf numFmtId="0" fontId="12" fillId="0" borderId="4" applyAlignment="1" pivotButton="0" quotePrefix="0" xfId="0">
      <alignment horizontal="center" vertical="center" wrapText="1"/>
    </xf>
    <xf numFmtId="0" fontId="0" fillId="0" borderId="6" pivotButton="0" quotePrefix="0" xfId="0"/>
    <xf numFmtId="0" fontId="19" fillId="0" borderId="106" applyAlignment="1" pivotButton="0" quotePrefix="0" xfId="0">
      <alignment horizontal="center" vertical="center" wrapText="1"/>
    </xf>
    <xf numFmtId="0" fontId="0" fillId="0" borderId="8" pivotButton="0" quotePrefix="0" xfId="0"/>
    <xf numFmtId="0" fontId="0" fillId="0" borderId="9" pivotButton="0" quotePrefix="0" xfId="0"/>
    <xf numFmtId="0" fontId="16" fillId="0" borderId="11" applyAlignment="1" pivotButton="0" quotePrefix="0" xfId="0">
      <alignment horizontal="center" vertical="center" wrapText="1"/>
    </xf>
    <xf numFmtId="0" fontId="0" fillId="0" borderId="10" pivotButton="0" quotePrefix="0" xfId="0"/>
    <xf numFmtId="0" fontId="0" fillId="0" borderId="11" pivotButton="0" quotePrefix="0" xfId="0"/>
    <xf numFmtId="0" fontId="12" fillId="0" borderId="105" applyAlignment="1" pivotButton="0" quotePrefix="0" xfId="0">
      <alignment horizontal="center" vertical="center" wrapText="1"/>
    </xf>
    <xf numFmtId="0" fontId="0" fillId="0" borderId="12" pivotButton="0" quotePrefix="0" xfId="0"/>
    <xf numFmtId="0" fontId="20" fillId="0" borderId="105" applyAlignment="1" pivotButton="0" quotePrefix="0" xfId="0">
      <alignment horizontal="center" vertical="center" wrapText="1"/>
    </xf>
    <xf numFmtId="0" fontId="0" fillId="0" borderId="13" pivotButton="0" quotePrefix="0" xfId="0"/>
    <xf numFmtId="0" fontId="0" fillId="0" borderId="14" pivotButton="0" quotePrefix="0" xfId="0"/>
    <xf numFmtId="0" fontId="0" fillId="0" borderId="15" pivotButton="0" quotePrefix="0" xfId="0"/>
    <xf numFmtId="0" fontId="17" fillId="0" borderId="3"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7" fillId="0" borderId="4" applyAlignment="1" pivotButton="0" quotePrefix="0" xfId="0">
      <alignment horizontal="center" vertical="top" wrapText="1"/>
    </xf>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34" pivotButton="0" quotePrefix="0" xfId="0"/>
    <xf numFmtId="0" fontId="0" fillId="0" borderId="35" pivotButton="0" quotePrefix="0" xfId="0"/>
    <xf numFmtId="0" fontId="0" fillId="0" borderId="36" pivotButton="0" quotePrefix="0" xfId="0"/>
    <xf numFmtId="0" fontId="0" fillId="0" borderId="38" pivotButton="0" quotePrefix="0" xfId="0"/>
    <xf numFmtId="0" fontId="29" fillId="0" borderId="75" applyAlignment="1" pivotButton="0" quotePrefix="0" xfId="0">
      <alignment horizontal="left" vertical="center" wrapText="1"/>
    </xf>
    <xf numFmtId="0" fontId="0" fillId="0" borderId="92" pivotButton="0" quotePrefix="0" xfId="0"/>
    <xf numFmtId="0" fontId="17" fillId="0" borderId="108" applyAlignment="1" pivotButton="0" quotePrefix="0" xfId="0">
      <alignment horizontal="center" vertical="center" wrapText="1"/>
    </xf>
    <xf numFmtId="0" fontId="17" fillId="0" borderId="109" applyAlignment="1" pivotButton="0" quotePrefix="0" xfId="0">
      <alignment horizontal="center" vertical="center" wrapText="1"/>
    </xf>
    <xf numFmtId="0" fontId="23" fillId="0" borderId="99" applyAlignment="1" pivotButton="0" quotePrefix="0" xfId="0">
      <alignment horizontal="center" vertical="center" wrapText="1"/>
    </xf>
    <xf numFmtId="0" fontId="0" fillId="0" borderId="41" pivotButton="0" quotePrefix="0" xfId="0"/>
    <xf numFmtId="0" fontId="23" fillId="0" borderId="40" applyAlignment="1" pivotButton="0" quotePrefix="0" xfId="0">
      <alignment horizontal="center" vertical="center" wrapText="1"/>
    </xf>
    <xf numFmtId="0" fontId="0" fillId="0" borderId="42" pivotButton="0" quotePrefix="0" xfId="0"/>
    <xf numFmtId="0" fontId="0" fillId="0" borderId="43" pivotButton="0" quotePrefix="0" xfId="0"/>
    <xf numFmtId="164" fontId="21" fillId="0" borderId="100" applyAlignment="1" pivotButton="0" quotePrefix="0" xfId="0">
      <alignment horizontal="center" vertical="center" wrapText="1"/>
    </xf>
    <xf numFmtId="0" fontId="0" fillId="0" borderId="93" pivotButton="0" quotePrefix="0" xfId="0"/>
    <xf numFmtId="0" fontId="3" fillId="0" borderId="4" applyAlignment="1" pivotButton="0" quotePrefix="0" xfId="0">
      <alignment horizontal="center" vertical="top" wrapText="1"/>
    </xf>
    <xf numFmtId="164" fontId="21" fillId="0" borderId="104" applyAlignment="1" pivotButton="0" quotePrefix="0" xfId="0">
      <alignment horizontal="center" vertical="center" wrapText="1"/>
    </xf>
    <xf numFmtId="0" fontId="0" fillId="0" borderId="97" pivotButton="0" quotePrefix="0" xfId="0"/>
    <xf numFmtId="164" fontId="21" fillId="0" borderId="103" applyAlignment="1" pivotButton="0" quotePrefix="0" xfId="0">
      <alignment horizontal="center" vertical="center" wrapText="1"/>
    </xf>
    <xf numFmtId="0" fontId="0" fillId="0" borderId="98" pivotButton="0" quotePrefix="0" xfId="0"/>
    <xf numFmtId="164" fontId="21" fillId="0" borderId="114" applyAlignment="1" pivotButton="0" quotePrefix="0" xfId="0">
      <alignment horizontal="center" vertical="center" wrapText="1"/>
    </xf>
    <xf numFmtId="0" fontId="0" fillId="0" borderId="95" pivotButton="0" quotePrefix="0" xfId="0"/>
    <xf numFmtId="0" fontId="9" fillId="0" borderId="116" applyAlignment="1" pivotButton="0" quotePrefix="0" xfId="0">
      <alignment horizontal="center" vertical="center" wrapText="1"/>
    </xf>
    <xf numFmtId="0" fontId="0" fillId="0" borderId="77" pivotButton="0" quotePrefix="0" xfId="0"/>
    <xf numFmtId="0" fontId="0" fillId="0" borderId="78" pivotButton="0" quotePrefix="0" xfId="0"/>
    <xf numFmtId="0" fontId="17" fillId="0" borderId="113" applyAlignment="1" pivotButton="0" quotePrefix="0" xfId="0">
      <alignment horizontal="center" vertical="center" wrapText="1"/>
    </xf>
    <xf numFmtId="0" fontId="23" fillId="0" borderId="48" applyAlignment="1" pivotButton="0" quotePrefix="0" xfId="0">
      <alignment horizontal="center" vertical="center" wrapText="1"/>
    </xf>
    <xf numFmtId="0" fontId="0" fillId="0" borderId="48" pivotButton="0" quotePrefix="0" xfId="0"/>
    <xf numFmtId="0" fontId="23" fillId="0" borderId="110" applyAlignment="1" pivotButton="0" quotePrefix="0" xfId="0">
      <alignment horizontal="center" vertical="center" wrapText="1"/>
    </xf>
    <xf numFmtId="0" fontId="0" fillId="0" borderId="27" pivotButton="0" quotePrefix="0" xfId="0"/>
    <xf numFmtId="164" fontId="21" fillId="0" borderId="118" applyAlignment="1" pivotButton="0" quotePrefix="0" xfId="0">
      <alignment horizontal="center" vertical="center" wrapText="1"/>
    </xf>
    <xf numFmtId="0" fontId="0" fillId="0" borderId="94" pivotButton="0" quotePrefix="0" xfId="0"/>
    <xf numFmtId="164" fontId="21" fillId="0" borderId="120" applyAlignment="1" pivotButton="0" quotePrefix="0" xfId="0">
      <alignment horizontal="center" vertical="center" wrapText="1"/>
    </xf>
    <xf numFmtId="0" fontId="28" fillId="0" borderId="124" applyAlignment="1" pivotButton="0" quotePrefix="0" xfId="0">
      <alignment horizontal="left" vertical="center" wrapText="1"/>
    </xf>
    <xf numFmtId="0" fontId="0" fillId="0" borderId="73" pivotButton="0" quotePrefix="0" xfId="0"/>
    <xf numFmtId="0" fontId="0" fillId="0" borderId="74" pivotButton="0" quotePrefix="0" xfId="0"/>
    <xf numFmtId="0" fontId="21" fillId="0" borderId="123" applyAlignment="1" pivotButton="0" quotePrefix="0" xfId="0">
      <alignment horizontal="center" vertical="center" wrapText="1"/>
    </xf>
    <xf numFmtId="0" fontId="23" fillId="0" borderId="121" applyAlignment="1" pivotButton="0" quotePrefix="0" xfId="0">
      <alignment horizontal="center" vertical="center" wrapText="1"/>
    </xf>
    <xf numFmtId="0" fontId="0" fillId="0" borderId="58" pivotButton="0" quotePrefix="0" xfId="0"/>
    <xf numFmtId="164" fontId="21" fillId="0" borderId="32" applyAlignment="1" pivotButton="0" quotePrefix="0" xfId="0">
      <alignment horizontal="center" vertical="center" wrapText="1"/>
    </xf>
    <xf numFmtId="0" fontId="0" fillId="0" borderId="28" pivotButton="0" quotePrefix="0" xfId="0"/>
    <xf numFmtId="0" fontId="21" fillId="0" borderId="54" applyAlignment="1" pivotButton="0" quotePrefix="0" xfId="0">
      <alignment horizontal="center" vertical="center" wrapText="1"/>
    </xf>
    <xf numFmtId="0" fontId="0" fillId="0" borderId="56" pivotButton="0" quotePrefix="0" xfId="0"/>
    <xf numFmtId="0" fontId="23" fillId="0" borderId="133" applyAlignment="1" pivotButton="0" quotePrefix="0" xfId="0">
      <alignment horizontal="center" vertical="center" wrapText="1"/>
    </xf>
    <xf numFmtId="0" fontId="20" fillId="0" borderId="46" applyAlignment="1" pivotButton="0" quotePrefix="0" xfId="0">
      <alignment horizontal="left" vertical="center" wrapText="1"/>
    </xf>
    <xf numFmtId="0" fontId="0" fillId="0" borderId="59" pivotButton="0" quotePrefix="0" xfId="0"/>
    <xf numFmtId="0" fontId="19" fillId="0" borderId="105" applyAlignment="1" pivotButton="0" quotePrefix="0" xfId="0">
      <alignment horizontal="left" vertical="top" wrapText="1"/>
    </xf>
    <xf numFmtId="0" fontId="24" fillId="0" borderId="105" applyAlignment="1" pivotButton="0" quotePrefix="0" xfId="0">
      <alignment horizontal="left" vertical="top" wrapText="1"/>
    </xf>
    <xf numFmtId="0" fontId="20" fillId="0" borderId="127" applyAlignment="1" pivotButton="0" quotePrefix="0" xfId="0">
      <alignment horizontal="center" vertical="center" wrapText="1"/>
    </xf>
    <xf numFmtId="0" fontId="0" fillId="0" borderId="61" pivotButton="0" quotePrefix="0" xfId="0"/>
    <xf numFmtId="0" fontId="25" fillId="0" borderId="64" applyAlignment="1" pivotButton="0" quotePrefix="0" xfId="0">
      <alignment horizontal="center" vertical="top" wrapText="1"/>
    </xf>
    <xf numFmtId="0" fontId="20" fillId="0" borderId="47" applyAlignment="1" pivotButton="0" quotePrefix="0" xfId="0">
      <alignment horizontal="center" vertical="center" wrapText="1"/>
    </xf>
    <xf numFmtId="0" fontId="16" fillId="0" borderId="128" applyAlignment="1" pivotButton="0" quotePrefix="0" xfId="0">
      <alignment horizontal="left" vertical="center" wrapText="1"/>
    </xf>
    <xf numFmtId="164" fontId="21" fillId="3" borderId="4" applyAlignment="1" pivotButton="0" quotePrefix="0" xfId="0">
      <alignment horizontal="center" vertical="center" wrapText="1"/>
    </xf>
    <xf numFmtId="0" fontId="21" fillId="3" borderId="4" applyAlignment="1" pivotButton="0" quotePrefix="0" xfId="0">
      <alignment horizontal="center" vertical="center" wrapText="1"/>
    </xf>
    <xf numFmtId="164" fontId="21" fillId="3" borderId="40" applyAlignment="1" pivotButton="0" quotePrefix="0" xfId="0">
      <alignment horizontal="center" vertical="center" wrapText="1"/>
    </xf>
    <xf numFmtId="0" fontId="0" fillId="0" borderId="53" pivotButton="0" quotePrefix="0" xfId="0"/>
    <xf numFmtId="0" fontId="20" fillId="0" borderId="64" applyAlignment="1" pivotButton="0" quotePrefix="0" xfId="0">
      <alignment horizontal="left" vertical="center" wrapText="1"/>
    </xf>
    <xf numFmtId="0" fontId="0" fillId="0" borderId="50" pivotButton="0" quotePrefix="0" xfId="0"/>
    <xf numFmtId="0" fontId="0" fillId="0" borderId="49" pivotButton="0" quotePrefix="0" xfId="0"/>
    <xf numFmtId="0" fontId="0" fillId="0" borderId="62" pivotButton="0" quotePrefix="0" xfId="0"/>
    <xf numFmtId="0" fontId="0" fillId="0" borderId="51" pivotButton="0" quotePrefix="0" xfId="0"/>
    <xf numFmtId="0" fontId="15" fillId="0" borderId="129" applyAlignment="1" pivotButton="0" quotePrefix="0" xfId="0">
      <alignment horizontal="right" vertical="center" wrapText="1"/>
    </xf>
    <xf numFmtId="0" fontId="0" fillId="0" borderId="63" pivotButton="0" quotePrefix="0" xfId="0"/>
    <xf numFmtId="0" fontId="26" fillId="0" borderId="36" applyAlignment="1" pivotButton="0" quotePrefix="0" xfId="0">
      <alignment horizontal="left" vertical="center" wrapText="1"/>
    </xf>
    <xf numFmtId="0" fontId="21" fillId="3" borderId="40" applyAlignment="1" pivotButton="0" quotePrefix="0" xfId="0">
      <alignment horizontal="center" vertical="center" wrapText="1"/>
    </xf>
    <xf numFmtId="0" fontId="0" fillId="0" borderId="64" pivotButton="0" quotePrefix="0" xfId="0"/>
    <xf numFmtId="0" fontId="15" fillId="0" borderId="128" applyAlignment="1" pivotButton="0" quotePrefix="0" xfId="0">
      <alignment horizontal="center" vertical="center" wrapText="1"/>
    </xf>
    <xf numFmtId="0" fontId="25" fillId="0" borderId="64" applyAlignment="1" pivotButton="0" quotePrefix="0" xfId="0">
      <alignment horizontal="left" vertical="top" wrapText="1"/>
    </xf>
    <xf numFmtId="0" fontId="15" fillId="0" borderId="130" applyAlignment="1" pivotButton="0" quotePrefix="0" xfId="0">
      <alignment horizontal="center" wrapText="1"/>
    </xf>
    <xf numFmtId="0" fontId="25" fillId="0" borderId="4" applyAlignment="1" pivotButton="0" quotePrefix="0" xfId="0">
      <alignment horizontal="center" vertical="center" wrapText="1"/>
    </xf>
    <xf numFmtId="0" fontId="25" fillId="0" borderId="40" applyAlignment="1" pivotButton="0" quotePrefix="0" xfId="0">
      <alignment horizontal="center" vertical="center" wrapText="1"/>
    </xf>
    <xf numFmtId="0" fontId="26" fillId="0" borderId="128" applyAlignment="1" pivotButton="0" quotePrefix="0" xfId="0">
      <alignment horizontal="center" vertical="top" wrapText="1"/>
    </xf>
    <xf numFmtId="9" fontId="25" fillId="0" borderId="4" applyAlignment="1" pivotButton="0" quotePrefix="0" xfId="1">
      <alignment horizontal="left" vertical="center" wrapText="1"/>
    </xf>
    <xf numFmtId="9" fontId="25" fillId="0" borderId="40" applyAlignment="1" pivotButton="0" quotePrefix="0" xfId="1">
      <alignment horizontal="left" vertical="center" wrapText="1"/>
    </xf>
    <xf numFmtId="10" fontId="25" fillId="0" borderId="40" applyAlignment="1" pivotButton="0" quotePrefix="0" xfId="1">
      <alignment horizontal="left" vertical="center" wrapText="1"/>
    </xf>
    <xf numFmtId="0" fontId="25" fillId="0" borderId="40" applyAlignment="1" pivotButton="0" quotePrefix="0" xfId="0">
      <alignment horizontal="left" vertical="center" wrapText="1"/>
    </xf>
    <xf numFmtId="0" fontId="20" fillId="0" borderId="17" applyAlignment="1" pivotButton="0" quotePrefix="0" xfId="0">
      <alignment horizontal="center" vertical="center" wrapText="1"/>
    </xf>
    <xf numFmtId="0" fontId="16" fillId="0" borderId="131" applyAlignment="1" pivotButton="0" quotePrefix="0" xfId="0">
      <alignment horizontal="left" vertical="center" wrapText="1"/>
    </xf>
    <xf numFmtId="0" fontId="0" fillId="0" borderId="66" pivotButton="0" quotePrefix="0" xfId="0"/>
    <xf numFmtId="0" fontId="0" fillId="0" borderId="67" pivotButton="0" quotePrefix="0" xfId="0"/>
    <xf numFmtId="0" fontId="0" fillId="0" borderId="68" pivotButton="0" quotePrefix="0" xfId="0"/>
    <xf numFmtId="0" fontId="20" fillId="0" borderId="128" applyAlignment="1" pivotButton="0" quotePrefix="0" xfId="0">
      <alignment horizontal="center" vertical="center" wrapText="1"/>
    </xf>
    <xf numFmtId="0" fontId="0" fillId="0" borderId="69" pivotButton="0" quotePrefix="0" xfId="0"/>
    <xf numFmtId="0" fontId="0" fillId="0" borderId="70" pivotButton="0" quotePrefix="0" xfId="0"/>
    <xf numFmtId="0" fontId="0" fillId="0" borderId="71" pivotButton="0" quotePrefix="0" xfId="0"/>
    <xf numFmtId="0" fontId="20" fillId="0" borderId="132" applyAlignment="1" pivotButton="0" quotePrefix="0" xfId="0">
      <alignment horizontal="center" vertical="center" wrapText="1"/>
    </xf>
    <xf numFmtId="0" fontId="25" fillId="0" borderId="29" applyAlignment="1" pivotButton="0" quotePrefix="0" xfId="0">
      <alignment horizontal="left" vertical="center" wrapText="1"/>
    </xf>
    <xf numFmtId="0" fontId="0" fillId="0" borderId="54" pivotButton="0" quotePrefix="0" xfId="0"/>
    <xf numFmtId="0" fontId="20" fillId="0" borderId="62" applyAlignment="1" pivotButton="0" quotePrefix="0" xfId="0">
      <alignment horizontal="left" vertical="top" wrapText="1"/>
    </xf>
  </cellXfs>
  <cellStyles count="2">
    <cellStyle name="Normal" xfId="0" builtinId="0"/>
    <cellStyle name="Percent" xfId="1"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AX95"/>
  <sheetViews>
    <sheetView tabSelected="1" topLeftCell="A55" zoomScale="110" zoomScaleNormal="110" workbookViewId="0">
      <selection activeCell="P62" sqref="P62"/>
    </sheetView>
  </sheetViews>
  <sheetFormatPr baseColWidth="8" defaultColWidth="12.59765625" defaultRowHeight="15" customHeight="1"/>
  <cols>
    <col width="2.8984375" customWidth="1" style="204" min="1" max="1"/>
    <col width="1.296875" customWidth="1" style="204" min="2" max="2"/>
    <col width="14.09765625" customWidth="1" style="204" min="3" max="3"/>
    <col width="17.296875" customWidth="1" style="204" min="4" max="4"/>
    <col width="0.09765625" customWidth="1" style="204" min="5" max="5"/>
    <col width="4.2" customWidth="1" style="204" min="6" max="6"/>
    <col width="4.2" customWidth="1" style="204" min="7" max="7"/>
    <col width="4.2" customWidth="1" style="204" min="8" max="11"/>
    <col width="4.2" customWidth="1" style="204" min="9" max="9"/>
    <col width="4.2" customWidth="1" style="204" min="10" max="10"/>
    <col width="4.2" customWidth="1" style="204" min="11" max="11"/>
    <col width="4.2" customWidth="1" style="204" min="12" max="12"/>
    <col width="4.2" customWidth="1" style="204" min="13" max="13"/>
    <col width="4.2" customWidth="1" style="204" min="14" max="17"/>
    <col width="4.2" customWidth="1" style="204" min="15" max="15"/>
    <col width="4.2" customWidth="1" style="204" min="16" max="16"/>
    <col width="4.2" customWidth="1" style="204" min="17" max="17"/>
    <col width="4.2" customWidth="1" style="204" min="18" max="18"/>
    <col width="4.2" customWidth="1" style="204" min="19" max="19"/>
    <col width="4.2" customWidth="1" style="204" min="20" max="21"/>
    <col width="4.2" customWidth="1" style="204" min="21" max="21"/>
    <col width="4.2" customWidth="1" style="204" min="22" max="22"/>
    <col width="4.2" customWidth="1" style="204" min="23" max="23"/>
    <col width="4.2" customWidth="1" style="204" min="24" max="24"/>
    <col width="4.2" customWidth="1" style="204" min="25" max="26"/>
    <col width="4.2" customWidth="1" style="204" min="26" max="26"/>
    <col width="4.2" customWidth="1" style="204" min="27" max="27"/>
    <col width="4.2" customWidth="1" style="204" min="28" max="32"/>
    <col width="4.2" customWidth="1" style="204" min="29" max="29"/>
    <col width="4.2" customWidth="1" style="204" min="30" max="30"/>
    <col width="4.2" customWidth="1" style="204" min="31" max="31"/>
    <col width="4.2" customWidth="1" style="204" min="32" max="32"/>
    <col width="4.2" customWidth="1" style="204" min="33" max="33"/>
    <col width="4.2" customWidth="1" style="204" min="34" max="34"/>
    <col width="4.2" customWidth="1" style="204" min="35" max="36"/>
    <col width="4.2" customWidth="1" style="204" min="36" max="36"/>
    <col width="4.2" customWidth="1" style="204" min="37" max="37"/>
    <col width="4.2" customWidth="1" style="204" min="38" max="39"/>
    <col width="5" customWidth="1" style="204" min="40" max="41"/>
    <col width="1.69921875" customWidth="1" style="204" min="42" max="42"/>
    <col width="10.09765625" customWidth="1" style="204" min="43" max="43"/>
    <col width="5" customWidth="1" style="204" min="44" max="45"/>
    <col width="6.69921875" customWidth="1" style="204" min="46" max="46"/>
    <col width="0.296875" customWidth="1" style="204" min="47" max="47"/>
    <col width="8" customWidth="1" style="204" min="48" max="50"/>
  </cols>
  <sheetData>
    <row r="1" ht="30" customHeight="1" s="204">
      <c r="A1" s="192" t="inlineStr">
        <is>
          <t>School Form 2 (SF2) Daily Attendance Report of Learners</t>
        </is>
      </c>
    </row>
    <row r="2" ht="19.5" customHeight="1" s="204">
      <c r="A2" s="193" t="inlineStr">
        <is>
          <t>(This replaces Form 1, Form 2 &amp; STS Form 4 - Absenteeism and Dropout Profile)</t>
        </is>
      </c>
    </row>
    <row r="3" ht="19.5" customHeight="1" s="204">
      <c r="A3" s="194" t="inlineStr">
        <is>
          <t xml:space="preserve">School ID </t>
        </is>
      </c>
      <c r="E3" s="4" t="n"/>
      <c r="F3" s="219" t="n">
        <v>107964</v>
      </c>
      <c r="G3" s="220" t="n"/>
      <c r="H3" s="220" t="n"/>
      <c r="I3" s="221" t="n"/>
      <c r="J3" s="194" t="inlineStr">
        <is>
          <t xml:space="preserve">School Year </t>
        </is>
      </c>
      <c r="M3" s="222" t="n"/>
      <c r="N3" s="220" t="n"/>
      <c r="O3" s="220" t="n"/>
      <c r="P3" s="220" t="n"/>
      <c r="Q3" s="220" t="n"/>
      <c r="R3" s="221" t="n"/>
      <c r="S3" s="194" t="inlineStr">
        <is>
          <t>Report for the Month of</t>
        </is>
      </c>
      <c r="AA3" s="222" t="n"/>
      <c r="AB3" s="220" t="n"/>
      <c r="AC3" s="220" t="n"/>
      <c r="AD3" s="220" t="n"/>
      <c r="AE3" s="220" t="n"/>
      <c r="AF3" s="220" t="n"/>
      <c r="AG3" s="221" t="n"/>
      <c r="AH3" s="4" t="n"/>
      <c r="AI3" s="4" t="n"/>
      <c r="AJ3" s="4" t="n"/>
      <c r="AK3" s="4" t="n"/>
      <c r="AL3" s="4" t="n"/>
      <c r="AM3" s="4" t="n"/>
      <c r="AN3" s="4" t="n"/>
      <c r="AO3" s="4" t="n"/>
      <c r="AP3" s="4" t="n"/>
      <c r="AQ3" s="4" t="n"/>
      <c r="AR3" s="4" t="n"/>
      <c r="AS3" s="4" t="n"/>
      <c r="AT3" s="4" t="n"/>
      <c r="AU3" s="4" t="n"/>
      <c r="AW3" s="203" t="n"/>
    </row>
    <row r="4" ht="20.25" customHeight="1" s="204" thickBot="1">
      <c r="A4" s="194" t="inlineStr">
        <is>
          <t>Name of School</t>
        </is>
      </c>
      <c r="E4" s="4" t="n"/>
      <c r="F4" s="219" t="inlineStr">
        <is>
          <t>CECILIO M. SALIBA ELEMENTARY SCHOOL</t>
        </is>
      </c>
      <c r="G4" s="220" t="n"/>
      <c r="H4" s="220" t="n"/>
      <c r="I4" s="220" t="n"/>
      <c r="J4" s="220" t="n"/>
      <c r="K4" s="220" t="n"/>
      <c r="L4" s="220" t="n"/>
      <c r="M4" s="220" t="n"/>
      <c r="N4" s="220" t="n"/>
      <c r="O4" s="220" t="n"/>
      <c r="P4" s="220" t="n"/>
      <c r="Q4" s="220" t="n"/>
      <c r="R4" s="221" t="n"/>
      <c r="S4" s="194" t="inlineStr">
        <is>
          <t>Grade Level</t>
        </is>
      </c>
      <c r="AA4" s="219" t="n"/>
      <c r="AB4" s="220" t="n"/>
      <c r="AC4" s="220" t="n"/>
      <c r="AD4" s="220" t="n"/>
      <c r="AE4" s="220" t="n"/>
      <c r="AF4" s="220" t="n"/>
      <c r="AG4" s="221" t="n"/>
      <c r="AH4" s="4" t="n"/>
      <c r="AI4" s="194" t="inlineStr">
        <is>
          <t xml:space="preserve">Section </t>
        </is>
      </c>
      <c r="AM4" s="219" t="n"/>
      <c r="AN4" s="220" t="n"/>
      <c r="AO4" s="220" t="n"/>
      <c r="AP4" s="220" t="n"/>
      <c r="AQ4" s="220" t="n"/>
      <c r="AR4" s="220" t="n"/>
      <c r="AS4" s="220" t="n"/>
      <c r="AT4" s="220" t="n"/>
      <c r="AU4" s="221" t="n"/>
      <c r="AV4" s="1" t="n"/>
      <c r="AW4" s="2" t="n"/>
    </row>
    <row r="5" ht="9.75" customHeight="1" s="204">
      <c r="A5" s="211" t="inlineStr">
        <is>
          <t>No.</t>
        </is>
      </c>
      <c r="B5" s="223" t="n"/>
      <c r="C5" s="224" t="inlineStr">
        <is>
          <t>NAME
(Last Name, First Name, Middle Name)</t>
        </is>
      </c>
      <c r="D5" s="225" t="n"/>
      <c r="E5" s="226" t="n"/>
      <c r="F5" s="227" t="inlineStr">
        <is>
          <t>(1st row for date)</t>
        </is>
      </c>
      <c r="G5" s="228" t="n"/>
      <c r="H5" s="228" t="n"/>
      <c r="I5" s="228" t="n"/>
      <c r="J5" s="228" t="n"/>
      <c r="K5" s="228" t="n"/>
      <c r="L5" s="228" t="n"/>
      <c r="M5" s="228" t="n"/>
      <c r="N5" s="228" t="n"/>
      <c r="O5" s="228" t="n"/>
      <c r="P5" s="228" t="n"/>
      <c r="Q5" s="228" t="n"/>
      <c r="R5" s="228" t="n"/>
      <c r="S5" s="228" t="n"/>
      <c r="T5" s="228" t="n"/>
      <c r="U5" s="228" t="n"/>
      <c r="V5" s="228" t="n"/>
      <c r="W5" s="228" t="n"/>
      <c r="X5" s="228" t="n"/>
      <c r="Y5" s="228" t="n"/>
      <c r="Z5" s="228" t="n"/>
      <c r="AA5" s="228" t="n"/>
      <c r="AB5" s="228" t="n"/>
      <c r="AC5" s="228" t="n"/>
      <c r="AD5" s="228" t="n"/>
      <c r="AE5" s="228" t="n"/>
      <c r="AF5" s="228" t="n"/>
      <c r="AG5" s="228" t="n"/>
      <c r="AH5" s="228" t="n"/>
      <c r="AI5" s="228" t="n"/>
      <c r="AJ5" s="228" t="n"/>
      <c r="AK5" s="228" t="n"/>
      <c r="AL5" s="229" t="n"/>
      <c r="AM5" s="230" t="inlineStr">
        <is>
          <t>Total for the Month</t>
        </is>
      </c>
      <c r="AN5" s="223" t="n"/>
      <c r="AO5" s="223" t="n"/>
      <c r="AP5" s="231" t="n"/>
      <c r="AQ5" s="232" t="inlineStr">
        <is>
          <t>REMARKS (If NLS, state reason, please refer to legend number 2. If TRANSFERRED IN/OUT, write the name of School.)</t>
        </is>
      </c>
      <c r="AR5" s="223" t="n"/>
      <c r="AS5" s="223" t="n"/>
      <c r="AT5" s="223" t="n"/>
      <c r="AU5" s="231" t="n"/>
    </row>
    <row r="6" ht="15" customHeight="1" s="204" thickBot="1">
      <c r="A6" s="233" t="n"/>
      <c r="C6" s="234" t="n"/>
      <c r="E6" s="235" t="n"/>
      <c r="F6" s="236" t="n"/>
      <c r="H6" s="5" t="n"/>
      <c r="I6" s="5" t="n"/>
      <c r="J6" s="5" t="n"/>
      <c r="K6" s="5" t="n"/>
      <c r="L6" s="6" t="n"/>
      <c r="N6" s="5" t="n"/>
      <c r="O6" s="5" t="n"/>
      <c r="P6" s="5" t="n"/>
      <c r="Q6" s="5" t="n"/>
      <c r="R6" s="6" t="n"/>
      <c r="T6" s="5" t="n"/>
      <c r="U6" s="5" t="n"/>
      <c r="V6" s="5" t="n"/>
      <c r="X6" s="5" t="n"/>
      <c r="Z6" s="6" t="n"/>
      <c r="AB6" s="5" t="n"/>
      <c r="AC6" s="5" t="n"/>
      <c r="AD6" s="5" t="n"/>
      <c r="AE6" s="5" t="n"/>
      <c r="AF6" s="6" t="n"/>
      <c r="AG6" s="5" t="n"/>
      <c r="AI6" s="5" t="n"/>
      <c r="AJ6" s="5" t="n"/>
      <c r="AK6" s="5" t="n"/>
      <c r="AM6" s="237" t="n"/>
      <c r="AN6" s="238" t="n"/>
      <c r="AO6" s="238" t="n"/>
      <c r="AP6" s="239" t="n"/>
      <c r="AQ6" s="233" t="n"/>
      <c r="AU6" s="240" t="n"/>
      <c r="AW6" s="241" t="n"/>
      <c r="AX6" s="242" t="n"/>
    </row>
    <row r="7" ht="15" customHeight="1" s="204" thickBot="1">
      <c r="A7" s="233" t="n"/>
      <c r="C7" s="243" t="n"/>
      <c r="D7" s="244" t="n"/>
      <c r="E7" s="245" t="n"/>
      <c r="F7" s="28" t="n"/>
      <c r="H7" s="27" t="n"/>
      <c r="I7" s="27" t="n"/>
      <c r="J7" s="27" t="n"/>
      <c r="K7" s="27" t="n"/>
      <c r="L7" s="28" t="n"/>
      <c r="N7" s="27" t="n"/>
      <c r="O7" s="27" t="n"/>
      <c r="P7" s="27" t="n"/>
      <c r="Q7" s="27" t="n"/>
      <c r="R7" s="28" t="n"/>
      <c r="T7" s="27" t="n"/>
      <c r="U7" s="27" t="n"/>
      <c r="V7" s="27" t="n"/>
      <c r="X7" s="27" t="n"/>
      <c r="Z7" s="28" t="n"/>
      <c r="AB7" s="27" t="n"/>
      <c r="AC7" s="27" t="n"/>
      <c r="AD7" s="27" t="n"/>
      <c r="AE7" s="27" t="n"/>
      <c r="AF7" s="28" t="n"/>
      <c r="AG7" s="27" t="n"/>
      <c r="AI7" s="27" t="n"/>
      <c r="AJ7" s="27" t="n"/>
      <c r="AK7" s="27" t="n"/>
      <c r="AM7" s="232" t="inlineStr">
        <is>
          <t>ABSENT</t>
        </is>
      </c>
      <c r="AN7" s="246" t="n"/>
      <c r="AO7" s="232" t="inlineStr">
        <is>
          <t>PRESENT</t>
        </is>
      </c>
      <c r="AP7" s="246" t="n"/>
      <c r="AQ7" s="237" t="n"/>
      <c r="AR7" s="238" t="n"/>
      <c r="AS7" s="238" t="n"/>
      <c r="AT7" s="238" t="n"/>
      <c r="AU7" s="239" t="n"/>
      <c r="AW7" s="247" t="n"/>
      <c r="AX7" s="248" t="n"/>
    </row>
    <row r="8" ht="19.5" customHeight="1" s="204">
      <c r="A8" s="209" t="n">
        <v>1</v>
      </c>
      <c r="B8" s="249" t="n"/>
      <c r="C8" s="250" t="n"/>
      <c r="D8" s="251" t="n"/>
      <c r="E8" s="7" t="n"/>
      <c r="F8" s="179" t="n"/>
      <c r="H8" s="9" t="n"/>
      <c r="I8" s="9" t="n"/>
      <c r="J8" s="9" t="n"/>
      <c r="K8" s="21" t="n"/>
      <c r="L8" s="10" t="n"/>
      <c r="N8" s="9" t="n"/>
      <c r="O8" s="33" t="n"/>
      <c r="P8" s="9" t="n"/>
      <c r="Q8" s="34" t="n"/>
      <c r="R8" s="10" t="n"/>
      <c r="T8" s="9" t="n"/>
      <c r="U8" s="9" t="n"/>
      <c r="V8" s="9" t="n"/>
      <c r="X8" s="21" t="n"/>
      <c r="Z8" s="10" t="n"/>
      <c r="AB8" s="9" t="n"/>
      <c r="AC8" s="9" t="n"/>
      <c r="AD8" s="9" t="n"/>
      <c r="AE8" s="21" t="n"/>
      <c r="AF8" s="10" t="n"/>
      <c r="AG8" s="252" t="n"/>
      <c r="AI8" s="9" t="n"/>
      <c r="AJ8" s="9" t="n"/>
      <c r="AK8" s="253" t="n"/>
      <c r="AM8" s="254">
        <f>COUNTIF(F8:AL8,"A")</f>
        <v/>
      </c>
      <c r="AN8" s="255" t="n"/>
      <c r="AO8" s="254">
        <f>AW4-AM8</f>
        <v/>
      </c>
      <c r="AP8" s="255" t="n"/>
      <c r="AQ8" s="256" t="inlineStr"/>
      <c r="AR8" s="220" t="n"/>
      <c r="AS8" s="220" t="n"/>
      <c r="AT8" s="220" t="n"/>
      <c r="AU8" s="255" t="n"/>
      <c r="AW8" s="257" t="n"/>
      <c r="AX8" s="258" t="n"/>
    </row>
    <row r="9" ht="19.5" customHeight="1" s="204">
      <c r="A9" s="174" t="n">
        <v>2</v>
      </c>
      <c r="B9" s="220" t="n"/>
      <c r="C9" s="250" t="n"/>
      <c r="D9" s="251" t="n"/>
      <c r="E9" s="8" t="n"/>
      <c r="F9" s="179" t="n"/>
      <c r="H9" s="9" t="n"/>
      <c r="I9" s="9" t="n"/>
      <c r="J9" s="9" t="n"/>
      <c r="K9" s="21" t="n"/>
      <c r="L9" s="10" t="n"/>
      <c r="N9" s="9" t="n"/>
      <c r="O9" s="9" t="n"/>
      <c r="P9" s="9" t="n"/>
      <c r="Q9" s="21" t="n"/>
      <c r="R9" s="10" t="n"/>
      <c r="T9" s="9" t="n"/>
      <c r="U9" s="9" t="n"/>
      <c r="V9" s="9" t="n"/>
      <c r="X9" s="21" t="n"/>
      <c r="Z9" s="10" t="n"/>
      <c r="AB9" s="9" t="n"/>
      <c r="AC9" s="9" t="n"/>
      <c r="AD9" s="9" t="n"/>
      <c r="AE9" s="21" t="n"/>
      <c r="AF9" s="10" t="n"/>
      <c r="AG9" s="9" t="n"/>
      <c r="AI9" s="9" t="n"/>
      <c r="AJ9" s="9" t="n"/>
      <c r="AK9" s="21" t="n"/>
      <c r="AM9" s="254">
        <f>COUNTIF(F9:AL9,"A")</f>
        <v/>
      </c>
      <c r="AN9" s="255" t="n"/>
      <c r="AO9" s="254">
        <f>AW4-AM9</f>
        <v/>
      </c>
      <c r="AP9" s="255" t="n"/>
      <c r="AQ9" s="256" t="inlineStr"/>
      <c r="AR9" s="220" t="n"/>
      <c r="AS9" s="220" t="n"/>
      <c r="AT9" s="220" t="n"/>
      <c r="AU9" s="255" t="n"/>
      <c r="AW9" s="3" t="n"/>
      <c r="AX9" s="3" t="n"/>
    </row>
    <row r="10" ht="19.5" customHeight="1" s="204">
      <c r="A10" s="259" t="n">
        <v>3</v>
      </c>
      <c r="B10" s="260" t="n"/>
      <c r="C10" s="250" t="n"/>
      <c r="D10" s="251" t="n"/>
      <c r="E10" s="8" t="n"/>
      <c r="F10" s="179" t="n"/>
      <c r="H10" s="9" t="n"/>
      <c r="I10" s="9" t="n"/>
      <c r="J10" s="9" t="n"/>
      <c r="K10" s="21" t="n"/>
      <c r="L10" s="10" t="n"/>
      <c r="N10" s="9" t="n"/>
      <c r="O10" s="9" t="n"/>
      <c r="P10" s="9" t="n"/>
      <c r="Q10" s="21" t="n"/>
      <c r="R10" s="10" t="n"/>
      <c r="T10" s="9" t="n"/>
      <c r="U10" s="9" t="n"/>
      <c r="V10" s="9" t="n"/>
      <c r="X10" s="21" t="n"/>
      <c r="Z10" s="10" t="n"/>
      <c r="AB10" s="9" t="n"/>
      <c r="AC10" s="9" t="n"/>
      <c r="AD10" s="9" t="n"/>
      <c r="AE10" s="21" t="n"/>
      <c r="AF10" s="10" t="n"/>
      <c r="AG10" s="9" t="n"/>
      <c r="AI10" s="9" t="n"/>
      <c r="AJ10" s="9" t="n"/>
      <c r="AK10" s="21" t="n"/>
      <c r="AM10" s="254">
        <f>COUNTIF(F10:AL10,"A")</f>
        <v/>
      </c>
      <c r="AN10" s="255" t="n"/>
      <c r="AO10" s="254">
        <f>AW4-AM10</f>
        <v/>
      </c>
      <c r="AP10" s="255" t="n"/>
      <c r="AQ10" s="256" t="inlineStr"/>
      <c r="AR10" s="220" t="n"/>
      <c r="AS10" s="220" t="n"/>
      <c r="AT10" s="220" t="n"/>
      <c r="AU10" s="255" t="n"/>
      <c r="AW10" s="261" t="n"/>
      <c r="AX10" s="242" t="n"/>
    </row>
    <row r="11" ht="19.5" customHeight="1" s="204">
      <c r="A11" s="259" t="n">
        <v>4</v>
      </c>
      <c r="B11" s="260" t="n"/>
      <c r="C11" s="250" t="n"/>
      <c r="D11" s="251" t="n"/>
      <c r="E11" s="8" t="n"/>
      <c r="F11" s="179" t="n"/>
      <c r="H11" s="9" t="n"/>
      <c r="I11" s="9" t="n"/>
      <c r="J11" s="9" t="n"/>
      <c r="K11" s="21" t="n"/>
      <c r="L11" s="10" t="n"/>
      <c r="N11" s="9" t="n"/>
      <c r="O11" s="9" t="n"/>
      <c r="P11" s="9" t="n"/>
      <c r="Q11" s="21" t="n"/>
      <c r="R11" s="10" t="n"/>
      <c r="T11" s="9" t="n"/>
      <c r="U11" s="9" t="n"/>
      <c r="V11" s="9" t="n"/>
      <c r="X11" s="21" t="n"/>
      <c r="Z11" s="10" t="n"/>
      <c r="AB11" s="9" t="n"/>
      <c r="AC11" s="9" t="n"/>
      <c r="AD11" s="9" t="n"/>
      <c r="AE11" s="21" t="n"/>
      <c r="AF11" s="10" t="n"/>
      <c r="AG11" s="9" t="n"/>
      <c r="AI11" s="9" t="n"/>
      <c r="AJ11" s="9" t="n"/>
      <c r="AK11" s="21" t="n"/>
      <c r="AM11" s="254">
        <f>COUNTIF(F11:AL11,"A")</f>
        <v/>
      </c>
      <c r="AN11" s="255" t="n"/>
      <c r="AO11" s="254">
        <f>AW4-AM11</f>
        <v/>
      </c>
      <c r="AP11" s="255" t="n"/>
      <c r="AQ11" s="256" t="inlineStr"/>
      <c r="AR11" s="220" t="n"/>
      <c r="AS11" s="220" t="n"/>
      <c r="AT11" s="220" t="n"/>
      <c r="AU11" s="255" t="n"/>
      <c r="AW11" s="247" t="n"/>
      <c r="AX11" s="248" t="n"/>
    </row>
    <row r="12" ht="19.5" customHeight="1" s="204">
      <c r="A12" s="259" t="n">
        <v>5</v>
      </c>
      <c r="B12" s="260" t="n"/>
      <c r="C12" s="250" t="n"/>
      <c r="D12" s="251" t="n"/>
      <c r="E12" s="8" t="n"/>
      <c r="F12" s="179" t="n"/>
      <c r="H12" s="9" t="n"/>
      <c r="I12" s="9" t="n"/>
      <c r="J12" s="9" t="n"/>
      <c r="K12" s="21" t="n"/>
      <c r="L12" s="10" t="n"/>
      <c r="N12" s="9" t="n"/>
      <c r="O12" s="9" t="n"/>
      <c r="P12" s="9" t="n"/>
      <c r="Q12" s="21" t="n"/>
      <c r="R12" s="10" t="n"/>
      <c r="T12" s="9" t="n"/>
      <c r="U12" s="9" t="n"/>
      <c r="V12" s="9" t="n"/>
      <c r="X12" s="21" t="n"/>
      <c r="Z12" s="10" t="n"/>
      <c r="AB12" s="9" t="n"/>
      <c r="AC12" s="9" t="n"/>
      <c r="AD12" s="9" t="n"/>
      <c r="AE12" s="21" t="n"/>
      <c r="AF12" s="10" t="n"/>
      <c r="AG12" s="9" t="n"/>
      <c r="AI12" s="9" t="n"/>
      <c r="AJ12" s="9" t="n"/>
      <c r="AK12" s="21" t="n"/>
      <c r="AM12" s="254">
        <f>COUNTIF(F12:AL12,"A")</f>
        <v/>
      </c>
      <c r="AN12" s="255" t="n"/>
      <c r="AO12" s="254">
        <f>AW4-AM12</f>
        <v/>
      </c>
      <c r="AP12" s="255" t="n"/>
      <c r="AQ12" s="256" t="n"/>
      <c r="AR12" s="220" t="n"/>
      <c r="AS12" s="220" t="n"/>
      <c r="AT12" s="220" t="n"/>
      <c r="AU12" s="255" t="n"/>
      <c r="AW12" s="247" t="n"/>
      <c r="AX12" s="248" t="n"/>
    </row>
    <row r="13" ht="19.5" customHeight="1" s="204">
      <c r="A13" s="259" t="n">
        <v>6</v>
      </c>
      <c r="B13" s="260" t="n"/>
      <c r="C13" s="250" t="n"/>
      <c r="D13" s="251" t="n"/>
      <c r="E13" s="8" t="n"/>
      <c r="F13" s="179" t="n"/>
      <c r="H13" s="9" t="n"/>
      <c r="I13" s="9" t="n"/>
      <c r="J13" s="9" t="n"/>
      <c r="K13" s="21" t="n"/>
      <c r="L13" s="10" t="n"/>
      <c r="N13" s="9" t="n"/>
      <c r="O13" s="9" t="n"/>
      <c r="P13" s="9" t="n"/>
      <c r="Q13" s="21" t="n"/>
      <c r="R13" s="10" t="n"/>
      <c r="T13" s="9" t="n"/>
      <c r="U13" s="9" t="n"/>
      <c r="V13" s="9" t="n"/>
      <c r="X13" s="21" t="n"/>
      <c r="Z13" s="10" t="n"/>
      <c r="AB13" s="9" t="n"/>
      <c r="AC13" s="9" t="n"/>
      <c r="AD13" s="9" t="n"/>
      <c r="AE13" s="21" t="n"/>
      <c r="AF13" s="10" t="n"/>
      <c r="AG13" s="9" t="n"/>
      <c r="AI13" s="9" t="n"/>
      <c r="AJ13" s="9" t="n"/>
      <c r="AK13" s="21" t="n"/>
      <c r="AM13" s="254">
        <f>COUNTIF(F13:AL13,"A")</f>
        <v/>
      </c>
      <c r="AN13" s="255" t="n"/>
      <c r="AO13" s="254">
        <f>AW4-AM13</f>
        <v/>
      </c>
      <c r="AP13" s="255" t="n"/>
      <c r="AQ13" s="256" t="inlineStr"/>
      <c r="AR13" s="220" t="n"/>
      <c r="AS13" s="220" t="n"/>
      <c r="AT13" s="220" t="n"/>
      <c r="AU13" s="255" t="n"/>
      <c r="AW13" s="247" t="n"/>
      <c r="AX13" s="248" t="n"/>
    </row>
    <row r="14" ht="19.5" customHeight="1" s="204">
      <c r="A14" s="259" t="n">
        <v>7</v>
      </c>
      <c r="B14" s="260" t="n"/>
      <c r="C14" s="250" t="n"/>
      <c r="D14" s="251" t="n"/>
      <c r="E14" s="8" t="n"/>
      <c r="F14" s="179" t="n"/>
      <c r="H14" s="9" t="n"/>
      <c r="I14" s="9" t="n"/>
      <c r="J14" s="9" t="n"/>
      <c r="K14" s="21" t="n"/>
      <c r="L14" s="10" t="n"/>
      <c r="N14" s="9" t="n"/>
      <c r="O14" s="9" t="n"/>
      <c r="P14" s="9" t="n"/>
      <c r="Q14" s="21" t="n"/>
      <c r="R14" s="10" t="n"/>
      <c r="T14" s="9" t="n"/>
      <c r="U14" s="9" t="n"/>
      <c r="V14" s="9" t="n"/>
      <c r="X14" s="21" t="n"/>
      <c r="Z14" s="10" t="n"/>
      <c r="AB14" s="9" t="n"/>
      <c r="AC14" s="9" t="n"/>
      <c r="AD14" s="9" t="n"/>
      <c r="AE14" s="21" t="n"/>
      <c r="AF14" s="10" t="n"/>
      <c r="AG14" s="9" t="n"/>
      <c r="AI14" s="9" t="n"/>
      <c r="AJ14" s="9" t="n"/>
      <c r="AK14" s="21" t="n"/>
      <c r="AM14" s="254">
        <f>COUNTIF(F14:AL14,"A")</f>
        <v/>
      </c>
      <c r="AN14" s="255" t="n"/>
      <c r="AO14" s="254">
        <f>AW4-AM14</f>
        <v/>
      </c>
      <c r="AP14" s="255" t="n"/>
      <c r="AQ14" s="256" t="n"/>
      <c r="AR14" s="220" t="n"/>
      <c r="AS14" s="220" t="n"/>
      <c r="AT14" s="220" t="n"/>
      <c r="AU14" s="255" t="n"/>
      <c r="AW14" s="247" t="n"/>
      <c r="AX14" s="248" t="n"/>
    </row>
    <row r="15" ht="19.5" customHeight="1" s="204">
      <c r="A15" s="259" t="n">
        <v>8</v>
      </c>
      <c r="B15" s="260" t="n"/>
      <c r="C15" s="250" t="n"/>
      <c r="D15" s="251" t="n"/>
      <c r="E15" s="8" t="n"/>
      <c r="F15" s="179" t="n"/>
      <c r="H15" s="9" t="n"/>
      <c r="I15" s="9" t="n"/>
      <c r="J15" s="9" t="n"/>
      <c r="K15" s="21" t="n"/>
      <c r="L15" s="10" t="n"/>
      <c r="N15" s="9" t="n"/>
      <c r="O15" s="9" t="n"/>
      <c r="P15" s="9" t="n"/>
      <c r="Q15" s="21" t="n"/>
      <c r="R15" s="10" t="n"/>
      <c r="T15" s="9" t="n"/>
      <c r="U15" s="9" t="n"/>
      <c r="V15" s="9" t="n"/>
      <c r="X15" s="21" t="n"/>
      <c r="Z15" s="10" t="n"/>
      <c r="AB15" s="9" t="n"/>
      <c r="AC15" s="9" t="n"/>
      <c r="AD15" s="9" t="n"/>
      <c r="AE15" s="21" t="n"/>
      <c r="AF15" s="10" t="n"/>
      <c r="AG15" s="9" t="n"/>
      <c r="AI15" s="9" t="n"/>
      <c r="AJ15" s="9" t="n"/>
      <c r="AK15" s="21" t="n"/>
      <c r="AM15" s="254">
        <f>COUNTIF(F15:AL15,"A")</f>
        <v/>
      </c>
      <c r="AN15" s="255" t="n"/>
      <c r="AO15" s="254">
        <f>AW4-AM15</f>
        <v/>
      </c>
      <c r="AP15" s="255" t="n"/>
      <c r="AQ15" s="256" t="n"/>
      <c r="AR15" s="220" t="n"/>
      <c r="AS15" s="220" t="n"/>
      <c r="AT15" s="220" t="n"/>
      <c r="AU15" s="255" t="n"/>
      <c r="AW15" s="257" t="n"/>
      <c r="AX15" s="258" t="n"/>
    </row>
    <row r="16" ht="19.5" customHeight="1" s="204">
      <c r="A16" s="259" t="n">
        <v>9</v>
      </c>
      <c r="B16" s="260" t="n"/>
      <c r="C16" s="250" t="n"/>
      <c r="D16" s="251" t="n"/>
      <c r="E16" s="8" t="n"/>
      <c r="F16" s="179" t="n"/>
      <c r="H16" s="9" t="n"/>
      <c r="I16" s="9" t="n"/>
      <c r="J16" s="9" t="n"/>
      <c r="K16" s="21" t="n"/>
      <c r="L16" s="10" t="n"/>
      <c r="N16" s="9" t="n"/>
      <c r="O16" s="9" t="n"/>
      <c r="P16" s="9" t="n"/>
      <c r="Q16" s="21" t="n"/>
      <c r="R16" s="10" t="n"/>
      <c r="T16" s="9" t="n"/>
      <c r="U16" s="9" t="n"/>
      <c r="V16" s="9" t="n"/>
      <c r="X16" s="21" t="n"/>
      <c r="Z16" s="10" t="n"/>
      <c r="AB16" s="9" t="n"/>
      <c r="AC16" s="9" t="n"/>
      <c r="AD16" s="9" t="n"/>
      <c r="AE16" s="21" t="n"/>
      <c r="AF16" s="10" t="n"/>
      <c r="AG16" s="9" t="n"/>
      <c r="AI16" s="9" t="n"/>
      <c r="AJ16" s="9" t="n"/>
      <c r="AK16" s="21" t="n"/>
      <c r="AM16" s="254">
        <f>COUNTIF(F16:AL16,"A")</f>
        <v/>
      </c>
      <c r="AN16" s="255" t="n"/>
      <c r="AO16" s="254">
        <f>AW4-AM16</f>
        <v/>
      </c>
      <c r="AP16" s="255" t="n"/>
      <c r="AQ16" s="256" t="n"/>
      <c r="AR16" s="220" t="n"/>
      <c r="AS16" s="220" t="n"/>
      <c r="AT16" s="220" t="n"/>
      <c r="AU16" s="255" t="n"/>
    </row>
    <row r="17" ht="19.5" customHeight="1" s="204">
      <c r="A17" s="259" t="n">
        <v>10</v>
      </c>
      <c r="B17" s="260" t="n"/>
      <c r="C17" s="250" t="n"/>
      <c r="D17" s="251" t="n"/>
      <c r="E17" s="8" t="n"/>
      <c r="F17" s="179" t="n"/>
      <c r="H17" s="9" t="n"/>
      <c r="I17" s="9" t="n"/>
      <c r="J17" s="9" t="n"/>
      <c r="K17" s="35" t="n"/>
      <c r="L17" s="10" t="n"/>
      <c r="N17" s="9" t="n"/>
      <c r="O17" s="9" t="n"/>
      <c r="P17" s="9" t="n"/>
      <c r="Q17" s="21" t="n"/>
      <c r="R17" s="10" t="n"/>
      <c r="T17" s="9" t="n"/>
      <c r="U17" s="9" t="n"/>
      <c r="V17" s="9" t="n"/>
      <c r="X17" s="21" t="n"/>
      <c r="Z17" s="10" t="n"/>
      <c r="AB17" s="9" t="n"/>
      <c r="AC17" s="9" t="n"/>
      <c r="AD17" s="9" t="n"/>
      <c r="AE17" s="21" t="n"/>
      <c r="AF17" s="10" t="n"/>
      <c r="AG17" s="9" t="n"/>
      <c r="AI17" s="9" t="n"/>
      <c r="AJ17" s="9" t="n"/>
      <c r="AK17" s="21" t="n"/>
      <c r="AM17" s="254">
        <f>COUNTIF(F17:AL17,"A")</f>
        <v/>
      </c>
      <c r="AN17" s="255" t="n"/>
      <c r="AO17" s="254">
        <f>AW4-AM17</f>
        <v/>
      </c>
      <c r="AP17" s="255" t="n"/>
      <c r="AQ17" s="256" t="n"/>
      <c r="AR17" s="220" t="n"/>
      <c r="AS17" s="220" t="n"/>
      <c r="AT17" s="220" t="n"/>
      <c r="AU17" s="255" t="n"/>
      <c r="AW17" s="261" t="inlineStr">
        <is>
          <t xml:space="preserve">*NOTE: KUNG MERON PO KAYONG TRANS IN,  DELETE NYO ANG FORMULA NG SINUSULATAN NG PANGALAN SAKA I-ADD ANG NAME SA MONTH KUNG KAILAN SYA NAG TRANS IN         (DUGTONG NYO NA LANG PO SA ILALIM PARA ACCURATE PA RIN ANG DATA ENTRY SA PANG-CARD)                    </t>
        </is>
      </c>
      <c r="AX17" s="242" t="n"/>
    </row>
    <row r="18" ht="19.5" customHeight="1" s="204">
      <c r="A18" s="259" t="n">
        <v>11</v>
      </c>
      <c r="B18" s="260" t="n"/>
      <c r="C18" s="250" t="n"/>
      <c r="D18" s="251" t="n"/>
      <c r="E18" s="8" t="n"/>
      <c r="F18" s="179" t="n"/>
      <c r="H18" s="9" t="n"/>
      <c r="I18" s="9" t="n"/>
      <c r="J18" s="9" t="n"/>
      <c r="K18" s="21" t="n"/>
      <c r="L18" s="10" t="n"/>
      <c r="N18" s="9" t="n"/>
      <c r="O18" s="9" t="n"/>
      <c r="P18" s="9" t="n"/>
      <c r="Q18" s="21" t="n"/>
      <c r="R18" s="10" t="n"/>
      <c r="T18" s="9" t="n"/>
      <c r="U18" s="9" t="n"/>
      <c r="V18" s="9" t="n"/>
      <c r="X18" s="21" t="n"/>
      <c r="Z18" s="10" t="n"/>
      <c r="AB18" s="9" t="n"/>
      <c r="AC18" s="9" t="n"/>
      <c r="AD18" s="9" t="n"/>
      <c r="AE18" s="21" t="n"/>
      <c r="AF18" s="10" t="n"/>
      <c r="AG18" s="9" t="n"/>
      <c r="AI18" s="9" t="n"/>
      <c r="AJ18" s="9" t="n"/>
      <c r="AK18" s="21" t="n"/>
      <c r="AM18" s="254">
        <f>COUNTIF(F18:AL18,"A")</f>
        <v/>
      </c>
      <c r="AN18" s="255" t="n"/>
      <c r="AO18" s="254">
        <f>AW4-AM18</f>
        <v/>
      </c>
      <c r="AP18" s="255" t="n"/>
      <c r="AQ18" s="256" t="inlineStr"/>
      <c r="AR18" s="220" t="n"/>
      <c r="AS18" s="220" t="n"/>
      <c r="AT18" s="220" t="n"/>
      <c r="AU18" s="255" t="n"/>
      <c r="AW18" s="247" t="n"/>
      <c r="AX18" s="248" t="n"/>
    </row>
    <row r="19" ht="19.5" customHeight="1" s="204">
      <c r="A19" s="259" t="n">
        <v>12</v>
      </c>
      <c r="B19" s="260" t="n"/>
      <c r="C19" s="250" t="n"/>
      <c r="D19" s="251" t="n"/>
      <c r="E19" s="8" t="n"/>
      <c r="F19" s="179" t="n"/>
      <c r="H19" s="9" t="n"/>
      <c r="I19" s="9" t="n"/>
      <c r="J19" s="9" t="n"/>
      <c r="K19" s="21" t="n"/>
      <c r="L19" s="10" t="n"/>
      <c r="N19" s="9" t="n"/>
      <c r="O19" s="9" t="n"/>
      <c r="P19" s="9" t="n"/>
      <c r="Q19" s="21" t="n"/>
      <c r="R19" s="10" t="n"/>
      <c r="T19" s="9" t="n"/>
      <c r="U19" s="9" t="n"/>
      <c r="V19" s="9" t="n"/>
      <c r="X19" s="21" t="n"/>
      <c r="Z19" s="10" t="n"/>
      <c r="AB19" s="9" t="n"/>
      <c r="AC19" s="9" t="n"/>
      <c r="AD19" s="9" t="n"/>
      <c r="AE19" s="9" t="n"/>
      <c r="AF19" s="10" t="n"/>
      <c r="AG19" s="9" t="n"/>
      <c r="AI19" s="9" t="n"/>
      <c r="AJ19" s="9" t="n"/>
      <c r="AK19" s="21" t="n"/>
      <c r="AM19" s="254">
        <f>COUNTIF(F19:AL19,"A")</f>
        <v/>
      </c>
      <c r="AN19" s="255" t="n"/>
      <c r="AO19" s="254">
        <f>AW4-AM19</f>
        <v/>
      </c>
      <c r="AP19" s="255" t="n"/>
      <c r="AQ19" s="256" t="inlineStr"/>
      <c r="AR19" s="220" t="n"/>
      <c r="AS19" s="220" t="n"/>
      <c r="AT19" s="220" t="n"/>
      <c r="AU19" s="255" t="n"/>
      <c r="AW19" s="247" t="n"/>
      <c r="AX19" s="248" t="n"/>
    </row>
    <row r="20" ht="19.5" customHeight="1" s="204">
      <c r="A20" s="259" t="n">
        <v>13</v>
      </c>
      <c r="B20" s="260" t="n"/>
      <c r="C20" s="250" t="n"/>
      <c r="D20" s="251" t="n"/>
      <c r="E20" s="8" t="n"/>
      <c r="F20" s="179" t="n"/>
      <c r="H20" s="9" t="n"/>
      <c r="I20" s="9" t="n"/>
      <c r="J20" s="9" t="n"/>
      <c r="K20" s="21" t="n"/>
      <c r="L20" s="10" t="n"/>
      <c r="N20" s="9" t="n"/>
      <c r="O20" s="9" t="n"/>
      <c r="P20" s="9" t="n"/>
      <c r="Q20" s="21" t="n"/>
      <c r="R20" s="10" t="n"/>
      <c r="T20" s="9" t="n"/>
      <c r="U20" s="9" t="n"/>
      <c r="V20" s="9" t="n"/>
      <c r="X20" s="21" t="n"/>
      <c r="Z20" s="10" t="n"/>
      <c r="AB20" s="9" t="n"/>
      <c r="AC20" s="9" t="n"/>
      <c r="AD20" s="9" t="n"/>
      <c r="AE20" s="21" t="n"/>
      <c r="AF20" s="10" t="n"/>
      <c r="AG20" s="9" t="n"/>
      <c r="AI20" s="9" t="n"/>
      <c r="AJ20" s="9" t="n"/>
      <c r="AK20" s="21" t="n"/>
      <c r="AM20" s="254">
        <f>COUNTIF(F20:AL20,"A")</f>
        <v/>
      </c>
      <c r="AN20" s="255" t="n"/>
      <c r="AO20" s="254">
        <f>AW4-AM20</f>
        <v/>
      </c>
      <c r="AP20" s="255" t="n"/>
      <c r="AQ20" s="256" t="inlineStr"/>
      <c r="AR20" s="220" t="n"/>
      <c r="AS20" s="220" t="n"/>
      <c r="AT20" s="220" t="n"/>
      <c r="AU20" s="255" t="n"/>
      <c r="AW20" s="247" t="n"/>
      <c r="AX20" s="248" t="n"/>
    </row>
    <row r="21" ht="19.5" customHeight="1" s="204">
      <c r="A21" s="259" t="n">
        <v>14</v>
      </c>
      <c r="B21" s="260" t="n"/>
      <c r="C21" s="250" t="n"/>
      <c r="D21" s="251" t="n"/>
      <c r="E21" s="8" t="n"/>
      <c r="F21" s="179" t="n"/>
      <c r="H21" s="9" t="n"/>
      <c r="I21" s="9" t="n"/>
      <c r="J21" s="9" t="n"/>
      <c r="K21" s="21" t="n"/>
      <c r="L21" s="10" t="n"/>
      <c r="N21" s="9" t="n"/>
      <c r="O21" s="9" t="n"/>
      <c r="P21" s="9" t="n"/>
      <c r="Q21" s="21" t="n"/>
      <c r="R21" s="10" t="n"/>
      <c r="T21" s="9" t="n"/>
      <c r="U21" s="9" t="n"/>
      <c r="V21" s="9" t="n"/>
      <c r="X21" s="21" t="n"/>
      <c r="Z21" s="10" t="n"/>
      <c r="AB21" s="9" t="n"/>
      <c r="AC21" s="9" t="n"/>
      <c r="AD21" s="9" t="n"/>
      <c r="AE21" s="21" t="n"/>
      <c r="AF21" s="10" t="n"/>
      <c r="AG21" s="9" t="n"/>
      <c r="AI21" s="9" t="n"/>
      <c r="AJ21" s="9" t="n"/>
      <c r="AK21" s="21" t="n"/>
      <c r="AM21" s="254">
        <f>COUNTIF(F21:AL21,"A")</f>
        <v/>
      </c>
      <c r="AN21" s="255" t="n"/>
      <c r="AO21" s="254">
        <f>AW4-AM21</f>
        <v/>
      </c>
      <c r="AP21" s="255" t="n"/>
      <c r="AQ21" s="256" t="inlineStr"/>
      <c r="AR21" s="220" t="n"/>
      <c r="AS21" s="220" t="n"/>
      <c r="AT21" s="220" t="n"/>
      <c r="AU21" s="255" t="n"/>
      <c r="AW21" s="247" t="n"/>
      <c r="AX21" s="248" t="n"/>
    </row>
    <row r="22" ht="19.5" customHeight="1" s="204">
      <c r="A22" s="259" t="n">
        <v>15</v>
      </c>
      <c r="B22" s="260" t="n"/>
      <c r="C22" s="250" t="n"/>
      <c r="D22" s="251" t="n"/>
      <c r="E22" s="8" t="n"/>
      <c r="F22" s="179" t="n"/>
      <c r="H22" s="9" t="n"/>
      <c r="I22" s="9" t="n"/>
      <c r="J22" s="9" t="n"/>
      <c r="K22" s="21" t="n"/>
      <c r="L22" s="10" t="n"/>
      <c r="N22" s="9" t="n"/>
      <c r="O22" s="9" t="n"/>
      <c r="P22" s="9" t="n"/>
      <c r="Q22" s="21" t="n"/>
      <c r="R22" s="10" t="n"/>
      <c r="T22" s="9" t="n"/>
      <c r="U22" s="9" t="n"/>
      <c r="V22" s="9" t="n"/>
      <c r="X22" s="21" t="n"/>
      <c r="Z22" s="10" t="n"/>
      <c r="AB22" s="9" t="n"/>
      <c r="AC22" s="9" t="n"/>
      <c r="AD22" s="9" t="n"/>
      <c r="AE22" s="21" t="n"/>
      <c r="AF22" s="10" t="n"/>
      <c r="AG22" s="9" t="n"/>
      <c r="AI22" s="9" t="n"/>
      <c r="AJ22" s="9" t="n"/>
      <c r="AK22" s="21" t="n"/>
      <c r="AM22" s="254">
        <f>COUNTIF(F22:AL22,"A")</f>
        <v/>
      </c>
      <c r="AN22" s="255" t="n"/>
      <c r="AO22" s="254">
        <f>AW4-AM22</f>
        <v/>
      </c>
      <c r="AP22" s="255" t="n"/>
      <c r="AQ22" s="256" t="inlineStr"/>
      <c r="AR22" s="220" t="n"/>
      <c r="AS22" s="220" t="n"/>
      <c r="AT22" s="220" t="n"/>
      <c r="AU22" s="255" t="n"/>
      <c r="AW22" s="247" t="n"/>
      <c r="AX22" s="248" t="n"/>
    </row>
    <row r="23" ht="19.5" customHeight="1" s="204">
      <c r="A23" s="262" t="n">
        <v>16</v>
      </c>
      <c r="B23" s="263" t="n"/>
      <c r="C23" s="250" t="n"/>
      <c r="D23" s="251" t="n"/>
      <c r="E23" s="8" t="n"/>
      <c r="F23" s="179" t="n"/>
      <c r="H23" s="9" t="n"/>
      <c r="I23" s="9" t="n"/>
      <c r="J23" s="9" t="n"/>
      <c r="K23" s="21" t="n"/>
      <c r="L23" s="10" t="n"/>
      <c r="N23" s="9" t="n"/>
      <c r="O23" s="9" t="n"/>
      <c r="P23" s="9" t="n"/>
      <c r="Q23" s="21" t="n"/>
      <c r="R23" s="10" t="n"/>
      <c r="T23" s="9" t="n"/>
      <c r="U23" s="9" t="n"/>
      <c r="V23" s="9" t="n"/>
      <c r="X23" s="21" t="n"/>
      <c r="Z23" s="10" t="n"/>
      <c r="AB23" s="9" t="n"/>
      <c r="AC23" s="9" t="n"/>
      <c r="AD23" s="9" t="n"/>
      <c r="AE23" s="21" t="n"/>
      <c r="AF23" s="10" t="n"/>
      <c r="AG23" s="9" t="n"/>
      <c r="AI23" s="9" t="n"/>
      <c r="AJ23" s="9" t="n"/>
      <c r="AK23" s="21" t="n"/>
      <c r="AM23" s="254">
        <f>COUNTIF(F23:AL23,"A")</f>
        <v/>
      </c>
      <c r="AN23" s="255" t="n"/>
      <c r="AO23" s="254">
        <f>AW4-AM23</f>
        <v/>
      </c>
      <c r="AP23" s="255" t="n"/>
      <c r="AQ23" s="254" t="n"/>
      <c r="AR23" s="220" t="n"/>
      <c r="AS23" s="220" t="n"/>
      <c r="AT23" s="220" t="n"/>
      <c r="AU23" s="255" t="n"/>
      <c r="AW23" s="257" t="n"/>
      <c r="AX23" s="258" t="n"/>
    </row>
    <row r="24" ht="19.5" customHeight="1" s="204">
      <c r="A24" s="264" t="n">
        <v>17</v>
      </c>
      <c r="B24" s="265" t="n"/>
      <c r="C24" s="250" t="n"/>
      <c r="D24" s="251" t="n"/>
      <c r="E24" s="8" t="n"/>
      <c r="F24" s="179" t="n"/>
      <c r="H24" s="9" t="n"/>
      <c r="I24" s="9" t="n"/>
      <c r="J24" s="9" t="n"/>
      <c r="K24" s="21" t="n"/>
      <c r="L24" s="10" t="n"/>
      <c r="N24" s="9" t="n"/>
      <c r="O24" s="9" t="n"/>
      <c r="P24" s="9" t="n"/>
      <c r="Q24" s="21" t="n"/>
      <c r="R24" s="10" t="n"/>
      <c r="T24" s="9" t="n"/>
      <c r="U24" s="9" t="n"/>
      <c r="V24" s="9" t="n"/>
      <c r="X24" s="21" t="n"/>
      <c r="Z24" s="10" t="n"/>
      <c r="AB24" s="9" t="n"/>
      <c r="AC24" s="9" t="n"/>
      <c r="AD24" s="9" t="n"/>
      <c r="AE24" s="21" t="n"/>
      <c r="AF24" s="10" t="n"/>
      <c r="AG24" s="9" t="n"/>
      <c r="AI24" s="9" t="n"/>
      <c r="AJ24" s="9" t="n"/>
      <c r="AK24" s="21" t="n"/>
      <c r="AM24" s="254">
        <f>COUNTIF(F24:AL24,"A")</f>
        <v/>
      </c>
      <c r="AN24" s="255" t="n"/>
      <c r="AO24" s="254">
        <f>AW4-AM24</f>
        <v/>
      </c>
      <c r="AP24" s="255" t="n"/>
      <c r="AQ24" s="256" t="inlineStr"/>
      <c r="AR24" s="220" t="n"/>
      <c r="AS24" s="220" t="n"/>
      <c r="AT24" s="220" t="n"/>
      <c r="AU24" s="255" t="n"/>
    </row>
    <row r="25" ht="19.5" customHeight="1" s="204">
      <c r="A25" s="262" t="n">
        <v>18</v>
      </c>
      <c r="B25" s="263" t="n"/>
      <c r="C25" s="250" t="n"/>
      <c r="D25" s="251" t="n"/>
      <c r="E25" s="8" t="n"/>
      <c r="F25" s="179" t="n"/>
      <c r="H25" s="9" t="n"/>
      <c r="I25" s="9" t="n"/>
      <c r="J25" s="9" t="n"/>
      <c r="K25" s="21" t="n"/>
      <c r="L25" s="10" t="n"/>
      <c r="N25" s="9" t="n"/>
      <c r="O25" s="9" t="n"/>
      <c r="P25" s="9" t="n"/>
      <c r="Q25" s="21" t="n"/>
      <c r="R25" s="10" t="n"/>
      <c r="T25" s="9" t="n"/>
      <c r="U25" s="36" t="n"/>
      <c r="V25" s="36" t="n"/>
      <c r="X25" s="21" t="n"/>
      <c r="Z25" s="10" t="n"/>
      <c r="AB25" s="9" t="n"/>
      <c r="AC25" s="9" t="n"/>
      <c r="AD25" s="9" t="n"/>
      <c r="AE25" s="21" t="n"/>
      <c r="AF25" s="10" t="n"/>
      <c r="AG25" s="9" t="n"/>
      <c r="AI25" s="9" t="n"/>
      <c r="AJ25" s="36" t="n"/>
      <c r="AK25" s="21" t="n"/>
      <c r="AM25" s="254">
        <f>COUNTIF(F25:AL25,"A")</f>
        <v/>
      </c>
      <c r="AN25" s="255" t="n"/>
      <c r="AO25" s="254">
        <f>AW4-AM25</f>
        <v/>
      </c>
      <c r="AP25" s="255" t="n"/>
      <c r="AQ25" s="256" t="inlineStr"/>
      <c r="AR25" s="220" t="n"/>
      <c r="AS25" s="220" t="n"/>
      <c r="AT25" s="220" t="n"/>
      <c r="AU25" s="255" t="n"/>
    </row>
    <row r="26" ht="19.5" customHeight="1" s="204">
      <c r="A26" s="264" t="n">
        <v>19</v>
      </c>
      <c r="B26" s="265" t="n"/>
      <c r="C26" s="250" t="n"/>
      <c r="D26" s="251" t="n"/>
      <c r="E26" s="8" t="n"/>
      <c r="F26" s="179" t="n"/>
      <c r="H26" s="9" t="n"/>
      <c r="I26" s="9" t="n"/>
      <c r="J26" s="9" t="n"/>
      <c r="K26" s="21" t="n"/>
      <c r="L26" s="54" t="n"/>
      <c r="M26" s="179" t="n"/>
      <c r="N26" s="9" t="n"/>
      <c r="O26" s="9" t="n"/>
      <c r="P26" s="9" t="n"/>
      <c r="Q26" s="21" t="n"/>
      <c r="R26" s="10" t="n"/>
      <c r="T26" s="55" t="n"/>
      <c r="U26" s="9" t="n"/>
      <c r="V26" s="9" t="n"/>
      <c r="X26" s="179" t="n"/>
      <c r="Z26" s="10" t="n"/>
      <c r="AB26" s="9" t="n"/>
      <c r="AC26" s="9" t="n"/>
      <c r="AD26" s="9" t="n"/>
      <c r="AE26" s="21" t="n"/>
      <c r="AF26" s="10" t="n"/>
      <c r="AG26" s="55" t="n"/>
      <c r="AH26" s="179" t="n"/>
      <c r="AI26" s="55" t="n"/>
      <c r="AJ26" s="9" t="n"/>
      <c r="AK26" s="179" t="n"/>
      <c r="AM26" s="254">
        <f>COUNTIF(F26:AL26,"A")</f>
        <v/>
      </c>
      <c r="AN26" s="255" t="n"/>
      <c r="AO26" s="254">
        <f>AW4-AM26</f>
        <v/>
      </c>
      <c r="AP26" s="255" t="n"/>
      <c r="AQ26" s="48" t="n"/>
      <c r="AR26" s="220" t="n"/>
      <c r="AS26" s="220" t="n"/>
      <c r="AT26" s="220" t="n"/>
      <c r="AU26" s="183" t="n"/>
    </row>
    <row r="27" ht="19.5" customHeight="1" s="204">
      <c r="A27" s="259" t="n">
        <v>20</v>
      </c>
      <c r="B27" s="260" t="n"/>
      <c r="C27" s="250" t="n"/>
      <c r="D27" s="251" t="n"/>
      <c r="E27" s="8" t="n"/>
      <c r="F27" s="179" t="n"/>
      <c r="H27" s="9" t="n"/>
      <c r="I27" s="9" t="n"/>
      <c r="J27" s="9" t="n"/>
      <c r="K27" s="21" t="n"/>
      <c r="L27" s="54" t="n"/>
      <c r="M27" s="179" t="n"/>
      <c r="N27" s="9" t="n"/>
      <c r="O27" s="9" t="n"/>
      <c r="P27" s="9" t="n"/>
      <c r="Q27" s="21" t="n"/>
      <c r="R27" s="10" t="n"/>
      <c r="T27" s="55" t="n"/>
      <c r="U27" s="9" t="n"/>
      <c r="V27" s="9" t="n"/>
      <c r="X27" s="179" t="n"/>
      <c r="Z27" s="10" t="n"/>
      <c r="AB27" s="9" t="n"/>
      <c r="AC27" s="9" t="n"/>
      <c r="AD27" s="9" t="n"/>
      <c r="AE27" s="21" t="n"/>
      <c r="AF27" s="10" t="n"/>
      <c r="AG27" s="55" t="n"/>
      <c r="AH27" s="179" t="n"/>
      <c r="AI27" s="55" t="n"/>
      <c r="AJ27" s="9" t="n"/>
      <c r="AK27" s="179" t="n"/>
      <c r="AM27" s="254">
        <f>COUNTIF(F27:AL27,"A")</f>
        <v/>
      </c>
      <c r="AN27" s="255" t="n"/>
      <c r="AO27" s="254">
        <f>AW4-AM27</f>
        <v/>
      </c>
      <c r="AP27" s="255" t="n"/>
      <c r="AQ27" s="48" t="n"/>
      <c r="AR27" s="220" t="n"/>
      <c r="AS27" s="220" t="n"/>
      <c r="AT27" s="220" t="n"/>
      <c r="AU27" s="183" t="n"/>
    </row>
    <row r="28" ht="19.5" customHeight="1" s="204">
      <c r="A28" s="259" t="n">
        <v>21</v>
      </c>
      <c r="B28" s="260" t="n"/>
      <c r="C28" s="250" t="n"/>
      <c r="D28" s="251" t="n"/>
      <c r="E28" s="8" t="n"/>
      <c r="F28" s="179" t="n"/>
      <c r="H28" s="9" t="n"/>
      <c r="I28" s="9" t="n"/>
      <c r="J28" s="9" t="n"/>
      <c r="K28" s="21" t="n"/>
      <c r="L28" s="10" t="n"/>
      <c r="N28" s="9" t="n"/>
      <c r="O28" s="9" t="n"/>
      <c r="P28" s="9" t="n"/>
      <c r="Q28" s="21" t="n"/>
      <c r="R28" s="10" t="n"/>
      <c r="T28" s="9" t="n"/>
      <c r="U28" s="9" t="n"/>
      <c r="V28" s="9" t="n"/>
      <c r="X28" s="21" t="n"/>
      <c r="Z28" s="10" t="n"/>
      <c r="AB28" s="9" t="n"/>
      <c r="AC28" s="9" t="n"/>
      <c r="AD28" s="9" t="n"/>
      <c r="AE28" s="21" t="n"/>
      <c r="AF28" s="10" t="n"/>
      <c r="AG28" s="9" t="n"/>
      <c r="AI28" s="9" t="n"/>
      <c r="AJ28" s="9" t="n"/>
      <c r="AK28" s="21" t="n"/>
      <c r="AM28" s="254">
        <f>COUNTIF(F28:AL28,"A")</f>
        <v/>
      </c>
      <c r="AN28" s="255" t="n"/>
      <c r="AO28" s="254">
        <f>AW4-AM28</f>
        <v/>
      </c>
      <c r="AP28" s="255" t="n"/>
      <c r="AQ28" s="256" t="inlineStr"/>
      <c r="AR28" s="220" t="n"/>
      <c r="AS28" s="220" t="n"/>
      <c r="AT28" s="220" t="n"/>
      <c r="AU28" s="255" t="n"/>
    </row>
    <row r="29" ht="19.5" customHeight="1" s="204">
      <c r="A29" s="259" t="n">
        <v>22</v>
      </c>
      <c r="B29" s="260" t="n"/>
      <c r="C29" s="250" t="n"/>
      <c r="D29" s="251" t="n"/>
      <c r="E29" s="8" t="n"/>
      <c r="F29" s="179" t="n"/>
      <c r="H29" s="9" t="n"/>
      <c r="I29" s="9" t="n"/>
      <c r="J29" s="9" t="n"/>
      <c r="K29" s="21" t="n"/>
      <c r="L29" s="10" t="n"/>
      <c r="N29" s="9" t="n"/>
      <c r="O29" s="9" t="n"/>
      <c r="P29" s="9" t="n"/>
      <c r="Q29" s="21" t="n"/>
      <c r="R29" s="10" t="n"/>
      <c r="T29" s="9" t="n"/>
      <c r="U29" s="36" t="n"/>
      <c r="V29" s="36" t="n"/>
      <c r="X29" s="21" t="n"/>
      <c r="Z29" s="10" t="n"/>
      <c r="AB29" s="9" t="n"/>
      <c r="AC29" s="9" t="n"/>
      <c r="AD29" s="9" t="n"/>
      <c r="AE29" s="21" t="n"/>
      <c r="AF29" s="10" t="n"/>
      <c r="AG29" s="9" t="n"/>
      <c r="AI29" s="9" t="n"/>
      <c r="AJ29" s="36" t="n"/>
      <c r="AK29" s="21" t="n"/>
      <c r="AM29" s="254">
        <f>COUNTIF(F29:AL29,"A")</f>
        <v/>
      </c>
      <c r="AN29" s="255" t="n"/>
      <c r="AO29" s="254">
        <f>AW4-AM29</f>
        <v/>
      </c>
      <c r="AP29" s="255" t="n"/>
      <c r="AQ29" s="256" t="inlineStr"/>
      <c r="AR29" s="220" t="n"/>
      <c r="AS29" s="220" t="n"/>
      <c r="AT29" s="220" t="n"/>
      <c r="AU29" s="255" t="n"/>
    </row>
    <row r="30" ht="19.5" customHeight="1" s="204" thickBot="1">
      <c r="A30" s="259" t="n">
        <v>23</v>
      </c>
      <c r="B30" s="260" t="n"/>
      <c r="C30" s="250" t="n"/>
      <c r="D30" s="251" t="n"/>
      <c r="E30" s="8" t="n"/>
      <c r="F30" s="179" t="n"/>
      <c r="H30" s="9" t="n"/>
      <c r="I30" s="9" t="n"/>
      <c r="J30" s="9" t="n"/>
      <c r="K30" s="21" t="n"/>
      <c r="L30" s="54" t="n"/>
      <c r="M30" s="179" t="n"/>
      <c r="N30" s="9" t="n"/>
      <c r="O30" s="9" t="n"/>
      <c r="P30" s="9" t="n"/>
      <c r="Q30" s="21" t="n"/>
      <c r="R30" s="10" t="n"/>
      <c r="T30" s="55" t="n"/>
      <c r="U30" s="9" t="n"/>
      <c r="V30" s="9" t="n"/>
      <c r="X30" s="179" t="n"/>
      <c r="Z30" s="10" t="n"/>
      <c r="AB30" s="9" t="n"/>
      <c r="AC30" s="9" t="n"/>
      <c r="AD30" s="9" t="n"/>
      <c r="AE30" s="21" t="n"/>
      <c r="AF30" s="10" t="n"/>
      <c r="AG30" s="55" t="n"/>
      <c r="AH30" s="179" t="n"/>
      <c r="AI30" s="55" t="n"/>
      <c r="AJ30" s="9" t="n"/>
      <c r="AK30" s="179" t="n"/>
      <c r="AM30" s="254">
        <f>COUNTIF(F30:AL30,"A")</f>
        <v/>
      </c>
      <c r="AN30" s="255" t="n"/>
      <c r="AO30" s="254">
        <f>AW4-AM30</f>
        <v/>
      </c>
      <c r="AP30" s="255" t="n"/>
      <c r="AQ30" s="48" t="n"/>
      <c r="AR30" s="220" t="n"/>
      <c r="AS30" s="220" t="n"/>
      <c r="AT30" s="220" t="n"/>
      <c r="AU30" s="183" t="n"/>
    </row>
    <row r="31" hidden="1" ht="19.5" customHeight="1" s="204" thickBot="1">
      <c r="A31" s="259" t="n">
        <v>24</v>
      </c>
      <c r="B31" s="260" t="n"/>
      <c r="C31" s="250" t="n"/>
      <c r="D31" s="251" t="n"/>
      <c r="E31" s="8" t="n"/>
      <c r="F31" s="179" t="n"/>
      <c r="H31" s="9" t="n"/>
      <c r="I31" s="9" t="n"/>
      <c r="J31" s="9" t="n"/>
      <c r="K31" s="21" t="n"/>
      <c r="L31" s="54" t="n"/>
      <c r="M31" s="179" t="n"/>
      <c r="N31" s="9" t="n"/>
      <c r="O31" s="9" t="n"/>
      <c r="P31" s="9" t="n"/>
      <c r="Q31" s="21" t="n"/>
      <c r="R31" s="10" t="n"/>
      <c r="T31" s="55" t="n"/>
      <c r="U31" s="9" t="n"/>
      <c r="V31" s="9" t="n"/>
      <c r="X31" s="179" t="n"/>
      <c r="Z31" s="10" t="n"/>
      <c r="AB31" s="9" t="n"/>
      <c r="AC31" s="9" t="n"/>
      <c r="AD31" s="9" t="n"/>
      <c r="AE31" s="21" t="n"/>
      <c r="AF31" s="10" t="n"/>
      <c r="AG31" s="55" t="n"/>
      <c r="AH31" s="179" t="n"/>
      <c r="AI31" s="55" t="n"/>
      <c r="AJ31" s="9" t="n"/>
      <c r="AK31" s="179" t="n"/>
      <c r="AM31" s="254">
        <f>COUNTIF(F31:AL31,"A")</f>
        <v/>
      </c>
      <c r="AN31" s="255" t="n"/>
      <c r="AO31" s="254">
        <f>AW4-AM31</f>
        <v/>
      </c>
      <c r="AP31" s="255" t="n"/>
      <c r="AQ31" s="48" t="n"/>
      <c r="AR31" s="220" t="n"/>
      <c r="AS31" s="220" t="n"/>
      <c r="AT31" s="220" t="n"/>
      <c r="AU31" s="183" t="n"/>
    </row>
    <row r="32" hidden="1" ht="19.5" customHeight="1" s="204" thickBot="1">
      <c r="A32" s="259" t="n"/>
      <c r="B32" s="260" t="n"/>
      <c r="C32" s="250" t="n"/>
      <c r="D32" s="251" t="n"/>
      <c r="E32" s="8" t="n"/>
      <c r="F32" s="179" t="n"/>
      <c r="H32" s="9" t="n"/>
      <c r="I32" s="9" t="n"/>
      <c r="J32" s="9" t="n"/>
      <c r="K32" s="21" t="n"/>
      <c r="L32" s="54" t="n"/>
      <c r="M32" s="179" t="n"/>
      <c r="N32" s="9" t="n"/>
      <c r="O32" s="9" t="n"/>
      <c r="P32" s="9" t="n"/>
      <c r="Q32" s="21" t="n"/>
      <c r="R32" s="10" t="n"/>
      <c r="T32" s="55" t="n"/>
      <c r="U32" s="9" t="n"/>
      <c r="V32" s="9" t="n"/>
      <c r="X32" s="179" t="n"/>
      <c r="Z32" s="10" t="n"/>
      <c r="AB32" s="9" t="n"/>
      <c r="AC32" s="9" t="n"/>
      <c r="AD32" s="9" t="n"/>
      <c r="AE32" s="21" t="n"/>
      <c r="AF32" s="10" t="n"/>
      <c r="AG32" s="55" t="n"/>
      <c r="AH32" s="179" t="n"/>
      <c r="AI32" s="55" t="n"/>
      <c r="AJ32" s="9" t="n"/>
      <c r="AK32" s="179" t="n"/>
      <c r="AM32" s="254">
        <f>COUNTIF(F32:AL32,"A")</f>
        <v/>
      </c>
      <c r="AN32" s="255" t="n"/>
      <c r="AO32" s="254">
        <f>AW4-AM32</f>
        <v/>
      </c>
      <c r="AP32" s="255" t="n"/>
      <c r="AQ32" s="48" t="n"/>
      <c r="AR32" s="220" t="n"/>
      <c r="AS32" s="220" t="n"/>
      <c r="AT32" s="220" t="n"/>
      <c r="AU32" s="183" t="n"/>
    </row>
    <row r="33" ht="19.5" customHeight="1" s="204" thickBot="1">
      <c r="A33" s="266" t="n"/>
      <c r="B33" s="267" t="n"/>
      <c r="C33" s="268" t="inlineStr">
        <is>
          <t>&lt;=== MALE | TOTAL Per Day ===&gt;</t>
        </is>
      </c>
      <c r="D33" s="269" t="n"/>
      <c r="E33" s="270" t="n"/>
      <c r="F33" s="162" t="n"/>
      <c r="H33" s="12" t="n"/>
      <c r="I33" s="12" t="n"/>
      <c r="J33" s="12" t="n"/>
      <c r="K33" s="13" t="n"/>
      <c r="L33" s="162" t="n"/>
      <c r="N33" s="12" t="n"/>
      <c r="O33" s="12" t="n"/>
      <c r="P33" s="12" t="n"/>
      <c r="Q33" s="13" t="n"/>
      <c r="R33" s="164" t="n"/>
      <c r="T33" s="14" t="n"/>
      <c r="U33" s="12" t="n"/>
      <c r="V33" s="12" t="n"/>
      <c r="X33" s="15" t="n"/>
      <c r="Z33" s="164" t="n"/>
      <c r="AB33" s="12" t="n"/>
      <c r="AC33" s="12" t="n"/>
      <c r="AD33" s="12" t="n"/>
      <c r="AE33" s="15" t="n"/>
      <c r="AF33" s="29" t="n"/>
      <c r="AG33" s="29" t="n"/>
      <c r="AI33" s="29" t="n"/>
      <c r="AJ33" s="29" t="n"/>
      <c r="AK33" s="271" t="n"/>
      <c r="AM33" s="272">
        <f>SUM(AM8:AN32)</f>
        <v/>
      </c>
      <c r="AN33" s="273" t="n"/>
      <c r="AO33" s="274">
        <f>SUM(AO8:AP32)</f>
        <v/>
      </c>
      <c r="AP33" s="273" t="n"/>
      <c r="AQ33" s="274" t="inlineStr"/>
      <c r="AR33" s="275" t="n"/>
      <c r="AS33" s="275" t="n"/>
      <c r="AT33" s="275" t="n"/>
      <c r="AU33" s="273" t="n"/>
    </row>
    <row r="34" ht="19.5" customHeight="1" s="204">
      <c r="A34" s="276" t="n">
        <v>1</v>
      </c>
      <c r="B34" s="277" t="n"/>
      <c r="C34" s="250" t="n"/>
      <c r="D34" s="251" t="n"/>
      <c r="E34" s="20" t="n"/>
      <c r="F34" s="179" t="n"/>
      <c r="H34" s="9" t="n"/>
      <c r="I34" s="9" t="n"/>
      <c r="J34" s="9" t="n"/>
      <c r="K34" s="21" t="n"/>
      <c r="L34" s="10" t="n"/>
      <c r="N34" s="9" t="n"/>
      <c r="O34" s="9" t="n"/>
      <c r="P34" s="9" t="n"/>
      <c r="Q34" s="34" t="n"/>
      <c r="R34" s="10" t="n"/>
      <c r="T34" s="9" t="n"/>
      <c r="U34" s="9" t="n"/>
      <c r="V34" s="9" t="n"/>
      <c r="X34" s="21" t="n"/>
      <c r="Z34" s="10" t="n"/>
      <c r="AB34" s="9" t="n"/>
      <c r="AC34" s="9" t="n"/>
      <c r="AD34" s="9" t="n"/>
      <c r="AE34" s="21" t="n"/>
      <c r="AF34" s="10" t="n"/>
      <c r="AG34" s="9" t="n"/>
      <c r="AI34" s="9" t="n"/>
      <c r="AJ34" s="9" t="n"/>
      <c r="AK34" s="21" t="n"/>
      <c r="AM34" s="254">
        <f>COUNTIF(F34:AL34,"A")</f>
        <v/>
      </c>
      <c r="AN34" s="255" t="n"/>
      <c r="AO34" s="254">
        <f>AW4-AM34</f>
        <v/>
      </c>
      <c r="AP34" s="255" t="n"/>
      <c r="AQ34" s="256" t="n"/>
      <c r="AR34" s="220" t="n"/>
      <c r="AS34" s="220" t="n"/>
      <c r="AT34" s="220" t="n"/>
      <c r="AU34" s="255" t="n"/>
    </row>
    <row r="35" ht="19.5" customHeight="1" s="204">
      <c r="A35" s="278" t="n">
        <v>2</v>
      </c>
      <c r="B35" s="260" t="n"/>
      <c r="C35" s="250" t="n"/>
      <c r="D35" s="251" t="n"/>
      <c r="E35" s="19" t="n"/>
      <c r="F35" s="179" t="n"/>
      <c r="H35" s="9" t="n"/>
      <c r="I35" s="9" t="n"/>
      <c r="J35" s="9" t="n"/>
      <c r="K35" s="21" t="n"/>
      <c r="L35" s="10" t="n"/>
      <c r="N35" s="9" t="n"/>
      <c r="O35" s="9" t="n"/>
      <c r="P35" s="9" t="n"/>
      <c r="Q35" s="21" t="n"/>
      <c r="R35" s="10" t="n"/>
      <c r="T35" s="9" t="n"/>
      <c r="U35" s="9" t="n"/>
      <c r="V35" s="9" t="n"/>
      <c r="X35" s="21" t="n"/>
      <c r="Z35" s="10" t="n"/>
      <c r="AB35" s="9" t="n"/>
      <c r="AC35" s="9" t="n"/>
      <c r="AD35" s="9" t="n"/>
      <c r="AE35" s="21" t="n"/>
      <c r="AF35" s="10" t="n"/>
      <c r="AG35" s="9" t="n"/>
      <c r="AI35" s="9" t="n"/>
      <c r="AJ35" s="9" t="n"/>
      <c r="AK35" s="21" t="n"/>
      <c r="AM35" s="254">
        <f>COUNTIF(F35:AL35,"A")</f>
        <v/>
      </c>
      <c r="AN35" s="255" t="n"/>
      <c r="AO35" s="254">
        <f>AW4-AM35</f>
        <v/>
      </c>
      <c r="AP35" s="255" t="n"/>
      <c r="AQ35" s="256" t="n"/>
      <c r="AR35" s="220" t="n"/>
      <c r="AS35" s="220" t="n"/>
      <c r="AT35" s="220" t="n"/>
      <c r="AU35" s="255" t="n"/>
    </row>
    <row r="36" ht="19.5" customHeight="1" s="204">
      <c r="A36" s="51" t="n">
        <v>3</v>
      </c>
      <c r="B36" s="220" t="n"/>
      <c r="C36" s="250" t="n"/>
      <c r="D36" s="251" t="n"/>
      <c r="E36" s="19" t="n"/>
      <c r="F36" s="179" t="n"/>
      <c r="H36" s="9" t="n"/>
      <c r="I36" s="9" t="n"/>
      <c r="J36" s="9" t="n"/>
      <c r="K36" s="21" t="n"/>
      <c r="L36" s="10" t="n"/>
      <c r="N36" s="9" t="n"/>
      <c r="O36" s="9" t="n"/>
      <c r="P36" s="9" t="n"/>
      <c r="Q36" s="21" t="n"/>
      <c r="R36" s="10" t="n"/>
      <c r="T36" s="9" t="n"/>
      <c r="U36" s="9" t="n"/>
      <c r="V36" s="9" t="n"/>
      <c r="X36" s="21" t="n"/>
      <c r="Z36" s="10" t="n"/>
      <c r="AB36" s="9" t="n"/>
      <c r="AC36" s="9" t="n"/>
      <c r="AD36" s="9" t="n"/>
      <c r="AE36" s="21" t="n"/>
      <c r="AF36" s="10" t="n"/>
      <c r="AG36" s="9" t="n"/>
      <c r="AI36" s="9" t="n"/>
      <c r="AJ36" s="9" t="n"/>
      <c r="AK36" s="21" t="n"/>
      <c r="AM36" s="254">
        <f>COUNTIF(F36:AL36,"A")</f>
        <v/>
      </c>
      <c r="AN36" s="255" t="n"/>
      <c r="AO36" s="254">
        <f>AW4-AM36</f>
        <v/>
      </c>
      <c r="AP36" s="255" t="n"/>
      <c r="AQ36" s="256" t="n"/>
      <c r="AR36" s="220" t="n"/>
      <c r="AS36" s="220" t="n"/>
      <c r="AT36" s="220" t="n"/>
      <c r="AU36" s="255" t="n"/>
    </row>
    <row r="37" ht="19.5" customHeight="1" s="204">
      <c r="A37" s="51" t="n">
        <v>4</v>
      </c>
      <c r="B37" s="220" t="n"/>
      <c r="C37" s="250" t="n"/>
      <c r="D37" s="251" t="n"/>
      <c r="E37" s="19" t="n"/>
      <c r="F37" s="179" t="n"/>
      <c r="H37" s="9" t="n"/>
      <c r="I37" s="9" t="n"/>
      <c r="J37" s="9" t="n"/>
      <c r="K37" s="21" t="n"/>
      <c r="L37" s="10" t="n"/>
      <c r="N37" s="9" t="n"/>
      <c r="O37" s="9" t="n"/>
      <c r="P37" s="9" t="n"/>
      <c r="Q37" s="21" t="n"/>
      <c r="R37" s="10" t="n"/>
      <c r="T37" s="9" t="n"/>
      <c r="U37" s="9" t="n"/>
      <c r="V37" s="9" t="n"/>
      <c r="X37" s="21" t="n"/>
      <c r="Z37" s="10" t="n"/>
      <c r="AB37" s="9" t="n"/>
      <c r="AC37" s="9" t="n"/>
      <c r="AD37" s="9" t="n"/>
      <c r="AE37" s="21" t="n"/>
      <c r="AF37" s="10" t="n"/>
      <c r="AG37" s="9" t="n"/>
      <c r="AI37" s="9" t="n"/>
      <c r="AJ37" s="9" t="n"/>
      <c r="AK37" s="21" t="n"/>
      <c r="AM37" s="254">
        <f>COUNTIF(F37:AL37,"A")</f>
        <v/>
      </c>
      <c r="AN37" s="255" t="n"/>
      <c r="AO37" s="254">
        <f>AW4-AM37</f>
        <v/>
      </c>
      <c r="AP37" s="255" t="n"/>
      <c r="AQ37" s="256" t="n"/>
      <c r="AR37" s="220" t="n"/>
      <c r="AS37" s="220" t="n"/>
      <c r="AT37" s="220" t="n"/>
      <c r="AU37" s="255" t="n"/>
    </row>
    <row r="38" ht="19.5" customHeight="1" s="204">
      <c r="A38" s="51" t="n">
        <v>5</v>
      </c>
      <c r="B38" s="220" t="n"/>
      <c r="C38" s="250" t="n"/>
      <c r="D38" s="251" t="n"/>
      <c r="E38" s="20" t="n"/>
      <c r="F38" s="179" t="n"/>
      <c r="H38" s="9" t="n"/>
      <c r="I38" s="9" t="n"/>
      <c r="J38" s="9" t="n"/>
      <c r="K38" s="21" t="n"/>
      <c r="L38" s="10" t="n"/>
      <c r="N38" s="9" t="n"/>
      <c r="O38" s="9" t="n"/>
      <c r="P38" s="9" t="n"/>
      <c r="Q38" s="21" t="n"/>
      <c r="R38" s="10" t="n"/>
      <c r="T38" s="9" t="n"/>
      <c r="U38" s="9" t="n"/>
      <c r="V38" s="9" t="n"/>
      <c r="X38" s="21" t="n"/>
      <c r="Z38" s="10" t="n"/>
      <c r="AB38" s="9" t="n"/>
      <c r="AC38" s="9" t="n"/>
      <c r="AD38" s="9" t="n"/>
      <c r="AE38" s="21" t="n"/>
      <c r="AF38" s="10" t="n"/>
      <c r="AG38" s="9" t="n"/>
      <c r="AI38" s="9" t="n"/>
      <c r="AJ38" s="9" t="n"/>
      <c r="AK38" s="21" t="n"/>
      <c r="AM38" s="254">
        <f>COUNTIF(F38:AL38,"A")</f>
        <v/>
      </c>
      <c r="AN38" s="255" t="n"/>
      <c r="AO38" s="254">
        <f>AW4-AM38</f>
        <v/>
      </c>
      <c r="AP38" s="255" t="n"/>
      <c r="AQ38" s="256" t="n"/>
      <c r="AR38" s="220" t="n"/>
      <c r="AS38" s="220" t="n"/>
      <c r="AT38" s="220" t="n"/>
      <c r="AU38" s="255" t="n"/>
    </row>
    <row r="39" ht="19.5" customHeight="1" s="204">
      <c r="A39" s="51" t="n">
        <v>6</v>
      </c>
      <c r="B39" s="220" t="n"/>
      <c r="C39" s="250" t="n"/>
      <c r="D39" s="251" t="n"/>
      <c r="E39" s="19" t="n"/>
      <c r="F39" s="179" t="n"/>
      <c r="H39" s="9" t="n"/>
      <c r="I39" s="9" t="n"/>
      <c r="J39" s="9" t="n"/>
      <c r="K39" s="21" t="n"/>
      <c r="L39" s="10" t="n"/>
      <c r="N39" s="9" t="n"/>
      <c r="O39" s="9" t="n"/>
      <c r="P39" s="9" t="n"/>
      <c r="Q39" s="21" t="n"/>
      <c r="R39" s="10" t="n"/>
      <c r="T39" s="9" t="n"/>
      <c r="U39" s="9" t="n"/>
      <c r="V39" s="9" t="n"/>
      <c r="X39" s="21" t="n"/>
      <c r="Z39" s="10" t="n"/>
      <c r="AB39" s="9" t="n"/>
      <c r="AC39" s="9" t="n"/>
      <c r="AD39" s="9" t="n"/>
      <c r="AE39" s="21" t="n"/>
      <c r="AF39" s="10" t="n"/>
      <c r="AG39" s="9" t="n"/>
      <c r="AI39" s="9" t="n"/>
      <c r="AJ39" s="9" t="n"/>
      <c r="AK39" s="21" t="n"/>
      <c r="AM39" s="254">
        <f>COUNTIF(F39:AL39,"A")</f>
        <v/>
      </c>
      <c r="AN39" s="255" t="n"/>
      <c r="AO39" s="254">
        <f>AW4-AM39</f>
        <v/>
      </c>
      <c r="AP39" s="255" t="n"/>
      <c r="AQ39" s="256" t="inlineStr"/>
      <c r="AR39" s="220" t="n"/>
      <c r="AS39" s="220" t="n"/>
      <c r="AT39" s="220" t="n"/>
      <c r="AU39" s="255" t="n"/>
    </row>
    <row r="40" ht="19.5" customHeight="1" s="204">
      <c r="A40" s="51" t="n">
        <v>7</v>
      </c>
      <c r="B40" s="220" t="n"/>
      <c r="C40" s="250" t="n"/>
      <c r="D40" s="251" t="n"/>
      <c r="E40" s="19" t="n"/>
      <c r="F40" s="179" t="n"/>
      <c r="H40" s="9" t="n"/>
      <c r="I40" s="9" t="n"/>
      <c r="J40" s="9" t="n"/>
      <c r="K40" s="21" t="n"/>
      <c r="L40" s="10" t="n"/>
      <c r="N40" s="9" t="n"/>
      <c r="O40" s="9" t="n"/>
      <c r="P40" s="9" t="n"/>
      <c r="Q40" s="21" t="n"/>
      <c r="R40" s="10" t="n"/>
      <c r="T40" s="9" t="n"/>
      <c r="U40" s="9" t="n"/>
      <c r="V40" s="9" t="n"/>
      <c r="X40" s="21" t="n"/>
      <c r="Z40" s="10" t="n"/>
      <c r="AB40" s="9" t="n"/>
      <c r="AC40" s="9" t="n"/>
      <c r="AD40" s="9" t="n"/>
      <c r="AE40" s="21" t="n"/>
      <c r="AF40" s="10" t="n"/>
      <c r="AG40" s="9" t="n"/>
      <c r="AI40" s="9" t="n"/>
      <c r="AJ40" s="9" t="n"/>
      <c r="AK40" s="21" t="n"/>
      <c r="AM40" s="254">
        <f>COUNTIF(F40:AL40,"A")</f>
        <v/>
      </c>
      <c r="AN40" s="255" t="n"/>
      <c r="AO40" s="254">
        <f>AW4-AM40</f>
        <v/>
      </c>
      <c r="AP40" s="255" t="n"/>
      <c r="AQ40" s="256" t="inlineStr"/>
      <c r="AR40" s="220" t="n"/>
      <c r="AS40" s="220" t="n"/>
      <c r="AT40" s="220" t="n"/>
      <c r="AU40" s="255" t="n"/>
    </row>
    <row r="41" ht="19.5" customHeight="1" s="204">
      <c r="A41" s="51" t="n">
        <v>8</v>
      </c>
      <c r="B41" s="220" t="n"/>
      <c r="C41" s="250" t="n"/>
      <c r="D41" s="251" t="n"/>
      <c r="E41" s="19" t="n"/>
      <c r="F41" s="179" t="n"/>
      <c r="H41" s="9" t="n"/>
      <c r="I41" s="9" t="n"/>
      <c r="J41" s="9" t="n"/>
      <c r="K41" s="21" t="n"/>
      <c r="L41" s="10" t="n"/>
      <c r="N41" s="9" t="n"/>
      <c r="O41" s="9" t="n"/>
      <c r="P41" s="9" t="n"/>
      <c r="Q41" s="21" t="n"/>
      <c r="R41" s="10" t="n"/>
      <c r="T41" s="9" t="n"/>
      <c r="U41" s="9" t="n"/>
      <c r="V41" s="9" t="n"/>
      <c r="X41" s="21" t="n"/>
      <c r="Z41" s="10" t="n"/>
      <c r="AB41" s="9" t="n"/>
      <c r="AC41" s="9" t="n"/>
      <c r="AD41" s="9" t="n"/>
      <c r="AE41" s="21" t="n"/>
      <c r="AF41" s="10" t="n"/>
      <c r="AG41" s="9" t="n"/>
      <c r="AI41" s="9" t="n"/>
      <c r="AJ41" s="9" t="n"/>
      <c r="AK41" s="21" t="n"/>
      <c r="AM41" s="254">
        <f>COUNTIF(F41:AL41,"A")</f>
        <v/>
      </c>
      <c r="AN41" s="255" t="n"/>
      <c r="AO41" s="254">
        <f>AW4-AM41</f>
        <v/>
      </c>
      <c r="AP41" s="255" t="n"/>
      <c r="AQ41" s="256" t="inlineStr"/>
      <c r="AR41" s="220" t="n"/>
      <c r="AS41" s="220" t="n"/>
      <c r="AT41" s="220" t="n"/>
      <c r="AU41" s="255" t="n"/>
    </row>
    <row r="42" ht="19.5" customHeight="1" s="204">
      <c r="A42" s="51" t="n">
        <v>9</v>
      </c>
      <c r="B42" s="220" t="n"/>
      <c r="C42" s="250" t="n"/>
      <c r="D42" s="251" t="n"/>
      <c r="E42" s="19" t="n"/>
      <c r="F42" s="179" t="n"/>
      <c r="H42" s="9" t="n"/>
      <c r="I42" s="9" t="n"/>
      <c r="J42" s="9" t="n"/>
      <c r="K42" s="35" t="n"/>
      <c r="L42" s="10" t="n"/>
      <c r="N42" s="9" t="n"/>
      <c r="O42" s="9" t="n"/>
      <c r="P42" s="9" t="n"/>
      <c r="Q42" s="21" t="n"/>
      <c r="R42" s="10" t="n"/>
      <c r="T42" s="9" t="n"/>
      <c r="U42" s="9" t="n"/>
      <c r="V42" s="9" t="n"/>
      <c r="X42" s="21" t="n"/>
      <c r="Z42" s="10" t="n"/>
      <c r="AB42" s="9" t="n"/>
      <c r="AC42" s="9" t="n"/>
      <c r="AD42" s="9" t="n"/>
      <c r="AE42" s="21" t="n"/>
      <c r="AF42" s="10" t="n"/>
      <c r="AG42" s="9" t="n"/>
      <c r="AI42" s="9" t="n"/>
      <c r="AJ42" s="9" t="n"/>
      <c r="AK42" s="21" t="n"/>
      <c r="AM42" s="254">
        <f>COUNTIF(F42:AL42,"A")</f>
        <v/>
      </c>
      <c r="AN42" s="255" t="n"/>
      <c r="AO42" s="254">
        <f>AW4-AM42</f>
        <v/>
      </c>
      <c r="AP42" s="255" t="n"/>
      <c r="AQ42" s="256" t="inlineStr"/>
      <c r="AR42" s="220" t="n"/>
      <c r="AS42" s="220" t="n"/>
      <c r="AT42" s="220" t="n"/>
      <c r="AU42" s="255" t="n"/>
    </row>
    <row r="43" ht="19.5" customHeight="1" s="204">
      <c r="A43" s="51" t="n">
        <v>10</v>
      </c>
      <c r="B43" s="220" t="n"/>
      <c r="C43" s="250" t="n"/>
      <c r="D43" s="251" t="n"/>
      <c r="E43" s="19" t="n"/>
      <c r="F43" s="179" t="n"/>
      <c r="H43" s="9" t="n"/>
      <c r="I43" s="9" t="n"/>
      <c r="J43" s="9" t="n"/>
      <c r="K43" s="21" t="n"/>
      <c r="L43" s="10" t="n"/>
      <c r="N43" s="9" t="n"/>
      <c r="O43" s="9" t="n"/>
      <c r="P43" s="9" t="n"/>
      <c r="Q43" s="21" t="n"/>
      <c r="R43" s="10" t="n"/>
      <c r="T43" s="9" t="n"/>
      <c r="U43" s="9" t="n"/>
      <c r="V43" s="9" t="n"/>
      <c r="X43" s="21" t="n"/>
      <c r="Z43" s="10" t="n"/>
      <c r="AB43" s="9" t="n"/>
      <c r="AC43" s="9" t="n"/>
      <c r="AD43" s="9" t="n"/>
      <c r="AE43" s="21" t="n"/>
      <c r="AF43" s="10" t="n"/>
      <c r="AG43" s="9" t="n"/>
      <c r="AI43" s="9" t="n"/>
      <c r="AJ43" s="9" t="n"/>
      <c r="AK43" s="21" t="n"/>
      <c r="AM43" s="254">
        <f>COUNTIF(F43:AL43,"A")</f>
        <v/>
      </c>
      <c r="AN43" s="255" t="n"/>
      <c r="AO43" s="254">
        <f>AW4-AM43</f>
        <v/>
      </c>
      <c r="AP43" s="255" t="n"/>
      <c r="AQ43" s="256" t="inlineStr"/>
      <c r="AR43" s="220" t="n"/>
      <c r="AS43" s="220" t="n"/>
      <c r="AT43" s="220" t="n"/>
      <c r="AU43" s="255" t="n"/>
    </row>
    <row r="44" ht="19.5" customHeight="1" s="204">
      <c r="A44" s="51" t="n">
        <v>11</v>
      </c>
      <c r="B44" s="220" t="n"/>
      <c r="C44" s="250" t="n"/>
      <c r="D44" s="251" t="n"/>
      <c r="E44" s="19" t="n"/>
      <c r="F44" s="179" t="n"/>
      <c r="H44" s="9" t="n"/>
      <c r="I44" s="9" t="n"/>
      <c r="J44" s="9" t="n"/>
      <c r="K44" s="21" t="n"/>
      <c r="L44" s="10" t="n"/>
      <c r="N44" s="9" t="n"/>
      <c r="O44" s="9" t="n"/>
      <c r="P44" s="9" t="n"/>
      <c r="Q44" s="21" t="n"/>
      <c r="R44" s="10" t="n"/>
      <c r="T44" s="9" t="n"/>
      <c r="U44" s="9" t="n"/>
      <c r="V44" s="9" t="n"/>
      <c r="X44" s="21" t="n"/>
      <c r="Z44" s="10" t="n"/>
      <c r="AB44" s="9" t="n"/>
      <c r="AC44" s="9" t="n"/>
      <c r="AD44" s="9" t="n"/>
      <c r="AE44" s="21" t="n"/>
      <c r="AF44" s="10" t="n"/>
      <c r="AG44" s="9" t="n"/>
      <c r="AI44" s="9" t="n"/>
      <c r="AJ44" s="9" t="n"/>
      <c r="AK44" s="21" t="n"/>
      <c r="AM44" s="254">
        <f>COUNTIF(F44:AL44,"A")</f>
        <v/>
      </c>
      <c r="AN44" s="255" t="n"/>
      <c r="AO44" s="254">
        <f>AW4-AM44</f>
        <v/>
      </c>
      <c r="AP44" s="255" t="n"/>
      <c r="AQ44" s="256" t="inlineStr"/>
      <c r="AR44" s="220" t="n"/>
      <c r="AS44" s="220" t="n"/>
      <c r="AT44" s="220" t="n"/>
      <c r="AU44" s="255" t="n"/>
    </row>
    <row r="45" ht="19.5" customHeight="1" s="204">
      <c r="A45" s="51" t="n">
        <v>12</v>
      </c>
      <c r="B45" s="220" t="n"/>
      <c r="C45" s="250" t="n"/>
      <c r="D45" s="251" t="n"/>
      <c r="E45" s="19" t="n"/>
      <c r="F45" s="179" t="n"/>
      <c r="H45" s="9" t="n"/>
      <c r="I45" s="9" t="n"/>
      <c r="J45" s="9" t="n"/>
      <c r="K45" s="21" t="n"/>
      <c r="L45" s="10" t="n"/>
      <c r="N45" s="9" t="n"/>
      <c r="O45" s="9" t="n"/>
      <c r="P45" s="9" t="n"/>
      <c r="Q45" s="21" t="n"/>
      <c r="R45" s="10" t="n"/>
      <c r="T45" s="9" t="n"/>
      <c r="U45" s="9" t="n"/>
      <c r="V45" s="9" t="n"/>
      <c r="X45" s="21" t="n"/>
      <c r="Z45" s="10" t="n"/>
      <c r="AB45" s="9" t="n"/>
      <c r="AC45" s="9" t="n"/>
      <c r="AD45" s="9" t="n"/>
      <c r="AE45" s="21" t="n"/>
      <c r="AF45" s="10" t="n"/>
      <c r="AG45" s="9" t="n"/>
      <c r="AI45" s="9" t="n"/>
      <c r="AJ45" s="9" t="n"/>
      <c r="AK45" s="21" t="n"/>
      <c r="AM45" s="254">
        <f>COUNTIF(F45:AL45,"A")</f>
        <v/>
      </c>
      <c r="AN45" s="255" t="n"/>
      <c r="AO45" s="254">
        <f>AW4-AM45</f>
        <v/>
      </c>
      <c r="AP45" s="255" t="n"/>
      <c r="AQ45" s="256" t="inlineStr"/>
      <c r="AR45" s="220" t="n"/>
      <c r="AS45" s="220" t="n"/>
      <c r="AT45" s="220" t="n"/>
      <c r="AU45" s="255" t="n"/>
    </row>
    <row r="46" ht="19.5" customHeight="1" s="204">
      <c r="A46" s="51" t="n">
        <v>13</v>
      </c>
      <c r="B46" s="220" t="n"/>
      <c r="C46" s="250" t="n"/>
      <c r="D46" s="251" t="n"/>
      <c r="E46" s="20" t="n"/>
      <c r="F46" s="179" t="n"/>
      <c r="H46" s="9" t="n"/>
      <c r="I46" s="9" t="n"/>
      <c r="J46" s="9" t="n"/>
      <c r="K46" s="21" t="n"/>
      <c r="L46" s="54" t="n"/>
      <c r="M46" s="179" t="n"/>
      <c r="N46" s="9" t="n"/>
      <c r="O46" s="9" t="n"/>
      <c r="P46" s="9" t="n"/>
      <c r="Q46" s="21" t="n"/>
      <c r="R46" s="10" t="n"/>
      <c r="T46" s="55" t="n"/>
      <c r="U46" s="9" t="n"/>
      <c r="V46" s="9" t="n"/>
      <c r="X46" s="179" t="n"/>
      <c r="Z46" s="10" t="n"/>
      <c r="AB46" s="9" t="n"/>
      <c r="AC46" s="9" t="n"/>
      <c r="AD46" s="9" t="n"/>
      <c r="AE46" s="21" t="n"/>
      <c r="AF46" s="10" t="n"/>
      <c r="AG46" s="55" t="n"/>
      <c r="AH46" s="179" t="n"/>
      <c r="AI46" s="55" t="n"/>
      <c r="AJ46" s="9" t="n"/>
      <c r="AK46" s="179" t="n"/>
      <c r="AM46" s="254">
        <f>COUNTIF(F46:AL46,"A")</f>
        <v/>
      </c>
      <c r="AN46" s="255" t="n"/>
      <c r="AO46" s="254">
        <f>AW4-AM46</f>
        <v/>
      </c>
      <c r="AP46" s="255" t="n"/>
      <c r="AQ46" s="48" t="n"/>
      <c r="AR46" s="220" t="n"/>
      <c r="AS46" s="220" t="n"/>
      <c r="AT46" s="220" t="n"/>
      <c r="AU46" s="183" t="n"/>
    </row>
    <row r="47" ht="19.5" customHeight="1" s="204">
      <c r="A47" s="51" t="n">
        <v>14</v>
      </c>
      <c r="B47" s="220" t="n"/>
      <c r="C47" s="250" t="n"/>
      <c r="D47" s="251" t="n"/>
      <c r="E47" s="19" t="n"/>
      <c r="F47" s="179" t="n"/>
      <c r="H47" s="9" t="n"/>
      <c r="I47" s="9" t="n"/>
      <c r="J47" s="9" t="n"/>
      <c r="K47" s="21" t="n"/>
      <c r="L47" s="54" t="n"/>
      <c r="M47" s="179" t="n"/>
      <c r="N47" s="9" t="n"/>
      <c r="O47" s="9" t="n"/>
      <c r="P47" s="9" t="n"/>
      <c r="Q47" s="21" t="n"/>
      <c r="R47" s="10" t="n"/>
      <c r="T47" s="55" t="n"/>
      <c r="U47" s="9" t="n"/>
      <c r="V47" s="9" t="n"/>
      <c r="X47" s="179" t="n"/>
      <c r="Z47" s="10" t="n"/>
      <c r="AB47" s="9" t="n"/>
      <c r="AC47" s="9" t="n"/>
      <c r="AD47" s="9" t="n"/>
      <c r="AE47" s="21" t="n"/>
      <c r="AF47" s="10" t="n"/>
      <c r="AG47" s="55" t="n"/>
      <c r="AH47" s="179" t="n"/>
      <c r="AI47" s="175" t="n"/>
      <c r="AJ47" s="9" t="n"/>
      <c r="AK47" s="179" t="n"/>
      <c r="AM47" s="254">
        <f>COUNTIF(F47:AL47,"A")</f>
        <v/>
      </c>
      <c r="AN47" s="255" t="n"/>
      <c r="AO47" s="254">
        <f>AW4-AM47</f>
        <v/>
      </c>
      <c r="AP47" s="255" t="n"/>
      <c r="AQ47" s="48" t="n"/>
      <c r="AR47" s="220" t="n"/>
      <c r="AS47" s="220" t="n"/>
      <c r="AT47" s="220" t="n"/>
      <c r="AU47" s="183" t="n"/>
    </row>
    <row r="48" ht="19.5" customHeight="1" s="204">
      <c r="A48" s="51" t="n">
        <v>15</v>
      </c>
      <c r="B48" s="220" t="n"/>
      <c r="C48" s="250" t="n"/>
      <c r="D48" s="251" t="n"/>
      <c r="E48" s="19" t="n"/>
      <c r="F48" s="179" t="n"/>
      <c r="H48" s="9" t="n"/>
      <c r="I48" s="9" t="n"/>
      <c r="J48" s="9" t="n"/>
      <c r="K48" s="21" t="n"/>
      <c r="L48" s="54" t="n"/>
      <c r="M48" s="179" t="n"/>
      <c r="N48" s="9" t="n"/>
      <c r="O48" s="9" t="n"/>
      <c r="P48" s="9" t="n"/>
      <c r="Q48" s="21" t="n"/>
      <c r="R48" s="10" t="n"/>
      <c r="T48" s="55" t="n"/>
      <c r="U48" s="9" t="n"/>
      <c r="V48" s="9" t="n"/>
      <c r="X48" s="179" t="n"/>
      <c r="Z48" s="10" t="n"/>
      <c r="AB48" s="9" t="n"/>
      <c r="AC48" s="9" t="n"/>
      <c r="AD48" s="9" t="n"/>
      <c r="AE48" s="21" t="n"/>
      <c r="AF48" s="10" t="n"/>
      <c r="AG48" s="9" t="n"/>
      <c r="AH48" s="52" t="n"/>
      <c r="AI48" s="22" t="n"/>
      <c r="AJ48" s="179" t="n"/>
      <c r="AK48" s="179" t="n"/>
      <c r="AM48" s="254">
        <f>COUNTIF(F48:AL48,"A")</f>
        <v/>
      </c>
      <c r="AN48" s="255" t="n"/>
      <c r="AO48" s="254">
        <f>AW4-AM48</f>
        <v/>
      </c>
      <c r="AP48" s="255" t="n"/>
      <c r="AQ48" s="48" t="n"/>
      <c r="AR48" s="220" t="n"/>
      <c r="AS48" s="220" t="n"/>
      <c r="AT48" s="220" t="n"/>
      <c r="AU48" s="183" t="n"/>
    </row>
    <row r="49" ht="19.5" customHeight="1" s="204">
      <c r="A49" s="51" t="n">
        <v>16</v>
      </c>
      <c r="B49" s="220" t="n"/>
      <c r="C49" s="250" t="n"/>
      <c r="D49" s="251" t="n"/>
      <c r="E49" s="19" t="n"/>
      <c r="F49" s="179" t="n"/>
      <c r="H49" s="9" t="n"/>
      <c r="I49" s="9" t="n"/>
      <c r="J49" s="9" t="n"/>
      <c r="K49" s="21" t="n"/>
      <c r="L49" s="54" t="n"/>
      <c r="M49" s="179" t="n"/>
      <c r="N49" s="9" t="n"/>
      <c r="O49" s="9" t="n"/>
      <c r="P49" s="9" t="n"/>
      <c r="Q49" s="21" t="n"/>
      <c r="R49" s="10" t="n"/>
      <c r="T49" s="55" t="n"/>
      <c r="U49" s="9" t="n"/>
      <c r="V49" s="9" t="n"/>
      <c r="X49" s="179" t="n"/>
      <c r="Z49" s="10" t="n"/>
      <c r="AB49" s="9" t="n"/>
      <c r="AC49" s="9" t="n"/>
      <c r="AD49" s="9" t="n"/>
      <c r="AE49" s="21" t="n"/>
      <c r="AF49" s="10" t="n"/>
      <c r="AG49" s="55" t="n"/>
      <c r="AH49" s="52" t="n"/>
      <c r="AI49" s="22" t="n"/>
      <c r="AJ49" s="179" t="n"/>
      <c r="AK49" s="179" t="n"/>
      <c r="AM49" s="254">
        <f>COUNTIF(F49:AL49,"A")</f>
        <v/>
      </c>
      <c r="AN49" s="255" t="n"/>
      <c r="AO49" s="254">
        <f>AW4-AM49</f>
        <v/>
      </c>
      <c r="AP49" s="255" t="n"/>
      <c r="AQ49" s="48" t="n"/>
      <c r="AR49" s="220" t="n"/>
      <c r="AS49" s="220" t="n"/>
      <c r="AT49" s="220" t="n"/>
      <c r="AU49" s="183" t="n"/>
    </row>
    <row r="50" ht="19.5" customHeight="1" s="204">
      <c r="A50" s="51" t="n">
        <v>17</v>
      </c>
      <c r="B50" s="220" t="n"/>
      <c r="C50" s="250" t="n"/>
      <c r="D50" s="251" t="n"/>
      <c r="E50" s="19" t="n"/>
      <c r="F50" s="179" t="n"/>
      <c r="H50" s="9" t="n"/>
      <c r="I50" s="9" t="n"/>
      <c r="J50" s="9" t="n"/>
      <c r="K50" s="21" t="n"/>
      <c r="L50" s="54" t="n"/>
      <c r="M50" s="179" t="n"/>
      <c r="N50" s="9" t="n"/>
      <c r="O50" s="9" t="n"/>
      <c r="P50" s="9" t="n"/>
      <c r="Q50" s="21" t="n"/>
      <c r="R50" s="10" t="n"/>
      <c r="T50" s="55" t="n"/>
      <c r="U50" s="9" t="n"/>
      <c r="V50" s="9" t="n"/>
      <c r="X50" s="179" t="n"/>
      <c r="Z50" s="10" t="n"/>
      <c r="AB50" s="9" t="n"/>
      <c r="AC50" s="9" t="n"/>
      <c r="AD50" s="9" t="n"/>
      <c r="AE50" s="21" t="n"/>
      <c r="AF50" s="10" t="n"/>
      <c r="AG50" s="55" t="n"/>
      <c r="AH50" s="52" t="n"/>
      <c r="AI50" s="22" t="n"/>
      <c r="AJ50" s="179" t="n"/>
      <c r="AK50" s="179" t="n"/>
      <c r="AM50" s="254">
        <f>COUNTIF(F50:AL50,"A")</f>
        <v/>
      </c>
      <c r="AN50" s="255" t="n"/>
      <c r="AO50" s="254">
        <f>AW4-AM50</f>
        <v/>
      </c>
      <c r="AP50" s="255" t="n"/>
      <c r="AQ50" s="48" t="n"/>
      <c r="AR50" s="220" t="n"/>
      <c r="AS50" s="220" t="n"/>
      <c r="AT50" s="220" t="n"/>
      <c r="AU50" s="183" t="n"/>
    </row>
    <row r="51" ht="19.5" customHeight="1" s="204">
      <c r="A51" s="51" t="n">
        <v>18</v>
      </c>
      <c r="B51" s="220" t="n"/>
      <c r="C51" s="250" t="n"/>
      <c r="D51" s="251" t="n"/>
      <c r="E51" s="19" t="n"/>
      <c r="F51" s="179" t="n"/>
      <c r="H51" s="9" t="n"/>
      <c r="I51" s="9" t="n"/>
      <c r="J51" s="9" t="n"/>
      <c r="K51" s="35" t="n"/>
      <c r="L51" s="10" t="n"/>
      <c r="N51" s="9" t="n"/>
      <c r="O51" s="9" t="n"/>
      <c r="P51" s="9" t="n"/>
      <c r="Q51" s="21" t="n"/>
      <c r="R51" s="10" t="n"/>
      <c r="T51" s="9" t="n"/>
      <c r="U51" s="9" t="n"/>
      <c r="V51" s="9" t="n"/>
      <c r="X51" s="21" t="n"/>
      <c r="Z51" s="10" t="n"/>
      <c r="AB51" s="9" t="n"/>
      <c r="AC51" s="9" t="n"/>
      <c r="AD51" s="9" t="n"/>
      <c r="AE51" s="21" t="n"/>
      <c r="AF51" s="10" t="n"/>
      <c r="AG51" s="9" t="n"/>
      <c r="AI51" s="9" t="n"/>
      <c r="AJ51" s="9" t="n"/>
      <c r="AK51" s="21" t="n"/>
      <c r="AM51" s="254">
        <f>COUNTIF(F51:AL51,"A")</f>
        <v/>
      </c>
      <c r="AN51" s="255" t="n"/>
      <c r="AO51" s="254">
        <f>AW4-AM51</f>
        <v/>
      </c>
      <c r="AP51" s="255" t="n"/>
      <c r="AQ51" s="256" t="inlineStr"/>
      <c r="AR51" s="220" t="n"/>
      <c r="AS51" s="220" t="n"/>
      <c r="AT51" s="220" t="n"/>
      <c r="AU51" s="255" t="n"/>
    </row>
    <row r="52" ht="19.5" customHeight="1" s="204">
      <c r="A52" s="51" t="n">
        <v>19</v>
      </c>
      <c r="B52" s="220" t="n"/>
      <c r="C52" s="250" t="n"/>
      <c r="D52" s="251" t="n"/>
      <c r="E52" s="19" t="n"/>
      <c r="F52" s="179" t="n"/>
      <c r="H52" s="9" t="n"/>
      <c r="I52" s="9" t="n"/>
      <c r="J52" s="9" t="n"/>
      <c r="K52" s="21" t="n"/>
      <c r="L52" s="10" t="n"/>
      <c r="N52" s="9" t="n"/>
      <c r="O52" s="9" t="n"/>
      <c r="P52" s="9" t="n"/>
      <c r="Q52" s="21" t="n"/>
      <c r="R52" s="10" t="n"/>
      <c r="T52" s="9" t="n"/>
      <c r="U52" s="9" t="n"/>
      <c r="V52" s="9" t="n"/>
      <c r="X52" s="21" t="n"/>
      <c r="Z52" s="10" t="n"/>
      <c r="AB52" s="9" t="n"/>
      <c r="AC52" s="9" t="n"/>
      <c r="AD52" s="9" t="n"/>
      <c r="AE52" s="21" t="n"/>
      <c r="AF52" s="10" t="n"/>
      <c r="AG52" s="9" t="n"/>
      <c r="AI52" s="9" t="n"/>
      <c r="AJ52" s="9" t="n"/>
      <c r="AK52" s="21" t="n"/>
      <c r="AM52" s="254">
        <f>COUNTIF(F52:AL52,"A")</f>
        <v/>
      </c>
      <c r="AN52" s="255" t="n"/>
      <c r="AO52" s="254">
        <f>AW4-AM52</f>
        <v/>
      </c>
      <c r="AP52" s="255" t="n"/>
      <c r="AQ52" s="256" t="inlineStr"/>
      <c r="AR52" s="220" t="n"/>
      <c r="AS52" s="220" t="n"/>
      <c r="AT52" s="220" t="n"/>
      <c r="AU52" s="255" t="n"/>
    </row>
    <row r="53" ht="19.5" customHeight="1" s="204">
      <c r="A53" s="51" t="n">
        <v>20</v>
      </c>
      <c r="B53" s="220" t="n"/>
      <c r="C53" s="250" t="n"/>
      <c r="D53" s="251" t="n"/>
      <c r="E53" s="19" t="n"/>
      <c r="F53" s="179" t="n"/>
      <c r="H53" s="9" t="n"/>
      <c r="I53" s="9" t="n"/>
      <c r="J53" s="9" t="n"/>
      <c r="K53" s="21" t="n"/>
      <c r="L53" s="10" t="n"/>
      <c r="N53" s="9" t="n"/>
      <c r="O53" s="9" t="n"/>
      <c r="P53" s="9" t="n"/>
      <c r="Q53" s="21" t="n"/>
      <c r="R53" s="10" t="n"/>
      <c r="T53" s="9" t="n"/>
      <c r="U53" s="9" t="n"/>
      <c r="V53" s="9" t="n"/>
      <c r="X53" s="21" t="n"/>
      <c r="Z53" s="10" t="n"/>
      <c r="AB53" s="9" t="n"/>
      <c r="AC53" s="9" t="n"/>
      <c r="AD53" s="9" t="n"/>
      <c r="AE53" s="21" t="n"/>
      <c r="AF53" s="10" t="n"/>
      <c r="AG53" s="9" t="n"/>
      <c r="AI53" s="9" t="n"/>
      <c r="AJ53" s="9" t="n"/>
      <c r="AK53" s="21" t="n"/>
      <c r="AM53" s="254">
        <f>COUNTIF(F53:AL53,"A")</f>
        <v/>
      </c>
      <c r="AN53" s="255" t="n"/>
      <c r="AO53" s="254">
        <f>AW4-AM53</f>
        <v/>
      </c>
      <c r="AP53" s="255" t="n"/>
      <c r="AQ53" s="256" t="inlineStr"/>
      <c r="AR53" s="220" t="n"/>
      <c r="AS53" s="220" t="n"/>
      <c r="AT53" s="220" t="n"/>
      <c r="AU53" s="255" t="n"/>
    </row>
    <row r="54" ht="19.5" customHeight="1" s="204">
      <c r="A54" s="51" t="n">
        <v>21</v>
      </c>
      <c r="B54" s="220" t="n"/>
      <c r="C54" s="250" t="n"/>
      <c r="D54" s="251" t="n"/>
      <c r="E54" s="19" t="n"/>
      <c r="F54" s="179" t="n"/>
      <c r="H54" s="9" t="n"/>
      <c r="I54" s="9" t="n"/>
      <c r="J54" s="9" t="n"/>
      <c r="K54" s="21" t="n"/>
      <c r="L54" s="10" t="n"/>
      <c r="N54" s="9" t="n"/>
      <c r="O54" s="9" t="n"/>
      <c r="P54" s="9" t="n"/>
      <c r="Q54" s="21" t="n"/>
      <c r="R54" s="10" t="n"/>
      <c r="T54" s="9" t="n"/>
      <c r="U54" s="9" t="n"/>
      <c r="V54" s="9" t="n"/>
      <c r="X54" s="21" t="n"/>
      <c r="Z54" s="10" t="n"/>
      <c r="AB54" s="9" t="n"/>
      <c r="AC54" s="9" t="n"/>
      <c r="AD54" s="9" t="n"/>
      <c r="AE54" s="21" t="n"/>
      <c r="AF54" s="10" t="n"/>
      <c r="AG54" s="9" t="n"/>
      <c r="AI54" s="9" t="n"/>
      <c r="AJ54" s="9" t="n"/>
      <c r="AK54" s="21" t="n"/>
      <c r="AM54" s="254">
        <f>COUNTIF(F54:AL54,"A")</f>
        <v/>
      </c>
      <c r="AN54" s="255" t="n"/>
      <c r="AO54" s="254">
        <f>AW4-AM54</f>
        <v/>
      </c>
      <c r="AP54" s="255" t="n"/>
      <c r="AQ54" s="256" t="inlineStr"/>
      <c r="AR54" s="220" t="n"/>
      <c r="AS54" s="220" t="n"/>
      <c r="AT54" s="220" t="n"/>
      <c r="AU54" s="255" t="n"/>
    </row>
    <row r="55" ht="19.5" customHeight="1" s="204">
      <c r="A55" s="51" t="n">
        <v>22</v>
      </c>
      <c r="B55" s="220" t="n"/>
      <c r="C55" s="250" t="n"/>
      <c r="D55" s="251" t="n"/>
      <c r="E55" s="20" t="n"/>
      <c r="F55" s="179" t="n"/>
      <c r="H55" s="9" t="n"/>
      <c r="I55" s="9" t="n"/>
      <c r="J55" s="9" t="n"/>
      <c r="K55" s="21" t="n"/>
      <c r="L55" s="54" t="n"/>
      <c r="M55" s="179" t="n"/>
      <c r="N55" s="9" t="n"/>
      <c r="O55" s="9" t="n"/>
      <c r="P55" s="9" t="n"/>
      <c r="Q55" s="21" t="n"/>
      <c r="R55" s="10" t="n"/>
      <c r="T55" s="55" t="n"/>
      <c r="U55" s="9" t="n"/>
      <c r="V55" s="9" t="n"/>
      <c r="X55" s="179" t="n"/>
      <c r="Z55" s="10" t="n"/>
      <c r="AB55" s="9" t="n"/>
      <c r="AC55" s="9" t="n"/>
      <c r="AD55" s="9" t="n"/>
      <c r="AE55" s="21" t="n"/>
      <c r="AF55" s="10" t="n"/>
      <c r="AG55" s="55" t="n"/>
      <c r="AH55" s="179" t="n"/>
      <c r="AI55" s="55" t="n"/>
      <c r="AJ55" s="9" t="n"/>
      <c r="AK55" s="179" t="n"/>
      <c r="AM55" s="254">
        <f>COUNTIF(F55:AL55,"A")</f>
        <v/>
      </c>
      <c r="AN55" s="255" t="n"/>
      <c r="AO55" s="254">
        <f>AW4-AM55</f>
        <v/>
      </c>
      <c r="AP55" s="255" t="n"/>
      <c r="AQ55" s="48" t="n"/>
      <c r="AR55" s="220" t="n"/>
      <c r="AS55" s="220" t="n"/>
      <c r="AT55" s="220" t="n"/>
      <c r="AU55" s="183" t="n"/>
    </row>
    <row r="56" ht="19.5" customHeight="1" s="204">
      <c r="A56" s="51" t="n">
        <v>23</v>
      </c>
      <c r="B56" s="220" t="n"/>
      <c r="C56" s="250" t="n"/>
      <c r="D56" s="251" t="n"/>
      <c r="E56" s="19" t="n"/>
      <c r="F56" s="179" t="n"/>
      <c r="H56" s="9" t="n"/>
      <c r="I56" s="9" t="n"/>
      <c r="J56" s="9" t="n"/>
      <c r="K56" s="21" t="n"/>
      <c r="L56" s="54" t="n"/>
      <c r="M56" s="179" t="n"/>
      <c r="N56" s="9" t="n"/>
      <c r="O56" s="9" t="n"/>
      <c r="P56" s="9" t="n"/>
      <c r="Q56" s="21" t="n"/>
      <c r="R56" s="10" t="n"/>
      <c r="T56" s="55" t="n"/>
      <c r="U56" s="9" t="n"/>
      <c r="V56" s="9" t="n"/>
      <c r="X56" s="179" t="n"/>
      <c r="Z56" s="10" t="n"/>
      <c r="AB56" s="9" t="n"/>
      <c r="AC56" s="9" t="n"/>
      <c r="AD56" s="9" t="n"/>
      <c r="AE56" s="21" t="n"/>
      <c r="AF56" s="10" t="n"/>
      <c r="AG56" s="55" t="n"/>
      <c r="AH56" s="179" t="n"/>
      <c r="AI56" s="175" t="n"/>
      <c r="AJ56" s="9" t="n"/>
      <c r="AK56" s="179" t="n"/>
      <c r="AM56" s="254">
        <f>COUNTIF(F56:AL56,"A")</f>
        <v/>
      </c>
      <c r="AN56" s="255" t="n"/>
      <c r="AO56" s="254">
        <f>AW4-AM56</f>
        <v/>
      </c>
      <c r="AP56" s="255" t="n"/>
      <c r="AQ56" s="48" t="n"/>
      <c r="AR56" s="220" t="n"/>
      <c r="AS56" s="220" t="n"/>
      <c r="AT56" s="220" t="n"/>
      <c r="AU56" s="183" t="n"/>
    </row>
    <row r="57" ht="19.5" customHeight="1" s="204">
      <c r="A57" s="51" t="n">
        <v>24</v>
      </c>
      <c r="B57" s="220" t="n"/>
      <c r="C57" s="250" t="n"/>
      <c r="D57" s="251" t="n"/>
      <c r="E57" s="19" t="n"/>
      <c r="F57" s="179" t="n"/>
      <c r="H57" s="9" t="n"/>
      <c r="I57" s="9" t="n"/>
      <c r="J57" s="9" t="n"/>
      <c r="K57" s="21" t="n"/>
      <c r="L57" s="54" t="n"/>
      <c r="M57" s="179" t="n"/>
      <c r="N57" s="9" t="n"/>
      <c r="O57" s="9" t="n"/>
      <c r="P57" s="9" t="n"/>
      <c r="Q57" s="21" t="n"/>
      <c r="R57" s="10" t="n"/>
      <c r="T57" s="55" t="n"/>
      <c r="U57" s="9" t="n"/>
      <c r="V57" s="9" t="n"/>
      <c r="X57" s="179" t="n"/>
      <c r="Z57" s="10" t="n"/>
      <c r="AB57" s="9" t="n"/>
      <c r="AC57" s="9" t="n"/>
      <c r="AD57" s="9" t="n"/>
      <c r="AE57" s="21" t="n"/>
      <c r="AF57" s="10" t="n"/>
      <c r="AG57" s="9" t="n"/>
      <c r="AH57" s="52" t="n"/>
      <c r="AI57" s="22" t="n"/>
      <c r="AJ57" s="179" t="n"/>
      <c r="AK57" s="179" t="n"/>
      <c r="AM57" s="254">
        <f>COUNTIF(F57:AL57,"A")</f>
        <v/>
      </c>
      <c r="AN57" s="255" t="n"/>
      <c r="AO57" s="254">
        <f>AW4-AM57</f>
        <v/>
      </c>
      <c r="AP57" s="255" t="n"/>
      <c r="AQ57" s="48" t="n"/>
      <c r="AR57" s="220" t="n"/>
      <c r="AS57" s="220" t="n"/>
      <c r="AT57" s="220" t="n"/>
      <c r="AU57" s="183" t="n"/>
    </row>
    <row r="58" hidden="1" ht="19.5" customHeight="1" s="204">
      <c r="A58" s="51" t="n">
        <v>25</v>
      </c>
      <c r="B58" s="220" t="n"/>
      <c r="C58" s="250" t="n"/>
      <c r="D58" s="251" t="n"/>
      <c r="E58" s="19" t="n"/>
      <c r="F58" s="179" t="n"/>
      <c r="H58" s="9" t="n"/>
      <c r="I58" s="9" t="n"/>
      <c r="J58" s="9" t="n"/>
      <c r="K58" s="21" t="n"/>
      <c r="L58" s="54" t="n"/>
      <c r="M58" s="179" t="n"/>
      <c r="N58" s="9" t="n"/>
      <c r="O58" s="9" t="n"/>
      <c r="P58" s="9" t="n"/>
      <c r="Q58" s="21" t="n"/>
      <c r="R58" s="10" t="n"/>
      <c r="T58" s="55" t="n"/>
      <c r="U58" s="9" t="n"/>
      <c r="V58" s="9" t="n"/>
      <c r="X58" s="179" t="n"/>
      <c r="Z58" s="10" t="n"/>
      <c r="AB58" s="9" t="n"/>
      <c r="AC58" s="9" t="n"/>
      <c r="AD58" s="9" t="n"/>
      <c r="AE58" s="21" t="n"/>
      <c r="AF58" s="10" t="n"/>
      <c r="AG58" s="55" t="n"/>
      <c r="AH58" s="52" t="n"/>
      <c r="AI58" s="22" t="n"/>
      <c r="AJ58" s="179" t="n"/>
      <c r="AK58" s="179" t="n"/>
      <c r="AM58" s="254">
        <f>COUNTIF(F58:AL58,"A")</f>
        <v/>
      </c>
      <c r="AN58" s="255" t="n"/>
      <c r="AO58" s="254">
        <f>AW4-AM58</f>
        <v/>
      </c>
      <c r="AP58" s="255" t="n"/>
      <c r="AQ58" s="48" t="n"/>
      <c r="AR58" s="220" t="n"/>
      <c r="AS58" s="220" t="n"/>
      <c r="AT58" s="220" t="n"/>
      <c r="AU58" s="183" t="n"/>
    </row>
    <row r="59" hidden="1" ht="19.5" customHeight="1" s="204">
      <c r="A59" s="51" t="n">
        <v>26</v>
      </c>
      <c r="B59" s="220" t="n"/>
      <c r="C59" s="250" t="n"/>
      <c r="D59" s="251" t="n"/>
      <c r="E59" s="19" t="n"/>
      <c r="F59" s="179" t="n"/>
      <c r="H59" s="9" t="n"/>
      <c r="I59" s="9" t="n"/>
      <c r="J59" s="9" t="n"/>
      <c r="K59" s="21" t="n"/>
      <c r="L59" s="54" t="n"/>
      <c r="M59" s="179" t="n"/>
      <c r="N59" s="9" t="n"/>
      <c r="O59" s="9" t="n"/>
      <c r="P59" s="9" t="n"/>
      <c r="Q59" s="21" t="n"/>
      <c r="R59" s="10" t="n"/>
      <c r="T59" s="55" t="n"/>
      <c r="U59" s="9" t="n"/>
      <c r="V59" s="9" t="n"/>
      <c r="X59" s="179" t="n"/>
      <c r="Z59" s="10" t="n"/>
      <c r="AB59" s="9" t="n"/>
      <c r="AC59" s="9" t="n"/>
      <c r="AD59" s="9" t="n"/>
      <c r="AE59" s="21" t="n"/>
      <c r="AF59" s="10" t="n"/>
      <c r="AG59" s="55" t="n"/>
      <c r="AH59" s="52" t="n"/>
      <c r="AI59" s="22" t="n"/>
      <c r="AJ59" s="179" t="n"/>
      <c r="AK59" s="179" t="n"/>
      <c r="AM59" s="254">
        <f>COUNTIF(F59:AL59,"A")</f>
        <v/>
      </c>
      <c r="AN59" s="255" t="n"/>
      <c r="AO59" s="254">
        <f>AW4-AM59</f>
        <v/>
      </c>
      <c r="AP59" s="255" t="n"/>
      <c r="AQ59" s="48" t="n"/>
      <c r="AR59" s="220" t="n"/>
      <c r="AS59" s="220" t="n"/>
      <c r="AT59" s="220" t="n"/>
      <c r="AU59" s="183" t="n"/>
    </row>
    <row r="60" hidden="1" ht="19.5" customHeight="1" s="204">
      <c r="A60" s="51" t="n"/>
      <c r="B60" s="220" t="n"/>
      <c r="C60" s="279" t="n"/>
      <c r="D60" s="280" t="n"/>
      <c r="E60" s="281" t="n"/>
      <c r="F60" s="179" t="n"/>
      <c r="H60" s="9" t="n"/>
      <c r="I60" s="9" t="n"/>
      <c r="J60" s="9" t="n"/>
      <c r="K60" s="21" t="n"/>
      <c r="L60" s="54" t="n"/>
      <c r="M60" s="179" t="n"/>
      <c r="N60" s="9" t="n"/>
      <c r="O60" s="9" t="n"/>
      <c r="P60" s="9" t="n"/>
      <c r="Q60" s="21" t="n"/>
      <c r="R60" s="10" t="n"/>
      <c r="T60" s="55" t="n"/>
      <c r="U60" s="9" t="n"/>
      <c r="V60" s="9" t="n"/>
      <c r="X60" s="179" t="n"/>
      <c r="Z60" s="10" t="n"/>
      <c r="AB60" s="9" t="n"/>
      <c r="AC60" s="9" t="n"/>
      <c r="AD60" s="9" t="n"/>
      <c r="AE60" s="21" t="n"/>
      <c r="AF60" s="10" t="n"/>
      <c r="AG60" s="55" t="n"/>
      <c r="AH60" s="179" t="n"/>
      <c r="AI60" s="38" t="n"/>
      <c r="AJ60" s="9" t="n"/>
      <c r="AK60" s="179" t="n"/>
      <c r="AM60" s="254">
        <f>COUNTIF(F60:AL60,"A")</f>
        <v/>
      </c>
      <c r="AN60" s="255" t="n"/>
      <c r="AO60" s="254">
        <f>AW4-AM60</f>
        <v/>
      </c>
      <c r="AP60" s="255" t="n"/>
      <c r="AQ60" s="48" t="n"/>
      <c r="AR60" s="220" t="n"/>
      <c r="AS60" s="220" t="n"/>
      <c r="AT60" s="220" t="n"/>
      <c r="AU60" s="183" t="n"/>
    </row>
    <row r="61" ht="19.5" customHeight="1" s="204" thickBot="1">
      <c r="A61" s="148" t="n"/>
      <c r="B61" s="275" t="n"/>
      <c r="C61" s="282" t="inlineStr">
        <is>
          <t>&lt;=== FEMALE | TOTAL Per Day ===&gt;</t>
        </is>
      </c>
      <c r="D61" s="244" t="n"/>
      <c r="E61" s="245" t="n"/>
      <c r="F61" s="30" t="n"/>
      <c r="H61" s="30" t="n"/>
      <c r="I61" s="30" t="n"/>
      <c r="J61" s="30" t="n"/>
      <c r="K61" s="31" t="n"/>
      <c r="L61" s="30" t="n"/>
      <c r="N61" s="30" t="n"/>
      <c r="O61" s="30" t="n"/>
      <c r="P61" s="30" t="n"/>
      <c r="Q61" s="31" t="n"/>
      <c r="R61" s="30" t="n"/>
      <c r="T61" s="30" t="n"/>
      <c r="U61" s="32" t="n"/>
      <c r="V61" s="32" t="n"/>
      <c r="X61" s="31" t="n"/>
      <c r="Z61" s="30" t="n"/>
      <c r="AB61" s="30" t="n"/>
      <c r="AC61" s="30" t="n"/>
      <c r="AD61" s="30" t="n"/>
      <c r="AE61" s="31" t="n"/>
      <c r="AF61" s="30" t="n"/>
      <c r="AG61" s="30" t="n"/>
      <c r="AI61" s="30" t="n"/>
      <c r="AJ61" s="32" t="n"/>
      <c r="AK61" s="31" t="n"/>
      <c r="AM61" s="274">
        <f>SUM(AM34:AN58)</f>
        <v/>
      </c>
      <c r="AN61" s="273" t="n"/>
      <c r="AO61" s="283">
        <f>SUM(AO34:AP59)</f>
        <v/>
      </c>
      <c r="AP61" s="284" t="n"/>
      <c r="AQ61" s="274" t="inlineStr"/>
      <c r="AR61" s="275" t="n"/>
      <c r="AS61" s="275" t="n"/>
      <c r="AT61" s="275" t="n"/>
      <c r="AU61" s="273" t="n"/>
    </row>
    <row r="62" ht="19.5" customHeight="1" s="204" thickBot="1">
      <c r="A62" s="285">
        <f>A33+A61</f>
        <v/>
      </c>
      <c r="B62" s="286" t="n"/>
      <c r="C62" s="287" t="inlineStr">
        <is>
          <t>Combined TOTAL Per Day</t>
        </is>
      </c>
      <c r="D62" s="238" t="n"/>
      <c r="E62" s="288" t="n"/>
      <c r="F62" s="30" t="n"/>
      <c r="H62" s="30" t="n"/>
      <c r="I62" s="30" t="n"/>
      <c r="J62" s="30" t="n"/>
      <c r="K62" s="31" t="n"/>
      <c r="L62" s="30" t="n"/>
      <c r="N62" s="30" t="n"/>
      <c r="O62" s="30" t="n"/>
      <c r="P62" s="30" t="n"/>
      <c r="Q62" s="31" t="n"/>
      <c r="R62" s="30" t="n"/>
      <c r="T62" s="30" t="n"/>
      <c r="U62" s="30" t="n"/>
      <c r="V62" s="30" t="n"/>
      <c r="X62" s="31" t="n"/>
      <c r="Z62" s="30" t="n"/>
      <c r="AB62" s="30" t="n"/>
      <c r="AC62" s="30" t="n"/>
      <c r="AD62" s="30" t="n"/>
      <c r="AE62" s="31" t="n"/>
      <c r="AF62" s="30" t="n"/>
      <c r="AG62" s="30" t="n"/>
      <c r="AI62" s="30" t="n"/>
      <c r="AJ62" s="30" t="n"/>
      <c r="AK62" s="31" t="n"/>
      <c r="AM62" s="274">
        <f>SUM(AM61,AM33)</f>
        <v/>
      </c>
      <c r="AN62" s="273" t="n"/>
      <c r="AO62" s="289">
        <f>SUM(AO61,AO33)</f>
        <v/>
      </c>
      <c r="AP62" s="239" t="n"/>
      <c r="AQ62" s="274" t="inlineStr"/>
      <c r="AR62" s="275" t="n"/>
      <c r="AS62" s="275" t="n"/>
      <c r="AT62" s="275" t="n"/>
      <c r="AU62" s="273" t="n"/>
    </row>
    <row r="63" ht="19.5" customHeight="1" s="204">
      <c r="A63" s="123" t="inlineStr">
        <is>
          <t>GUIDELINES:</t>
        </is>
      </c>
      <c r="Y63" s="4" t="n"/>
      <c r="Z63" s="290" t="inlineStr">
        <is>
          <t>1. CODES FOR CHECKING ATTENDANCE</t>
        </is>
      </c>
      <c r="AA63" s="291" t="n"/>
      <c r="AB63" s="291" t="n"/>
      <c r="AC63" s="291" t="n"/>
      <c r="AD63" s="291" t="n"/>
      <c r="AE63" s="291" t="n"/>
      <c r="AF63" s="291" t="n"/>
      <c r="AG63" s="291" t="n"/>
      <c r="AH63" s="291" t="n"/>
      <c r="AI63" s="291" t="n"/>
      <c r="AJ63" s="291" t="n"/>
      <c r="AK63" s="242" t="n"/>
      <c r="AL63" s="4" t="n"/>
      <c r="AM63" s="292" t="n"/>
      <c r="AN63" s="223" t="n"/>
      <c r="AO63" s="231" t="n"/>
      <c r="AP63" s="293" t="n"/>
      <c r="AQ63" s="231" t="n"/>
      <c r="AR63" s="294" t="inlineStr">
        <is>
          <t>Summary</t>
        </is>
      </c>
      <c r="AS63" s="228" t="n"/>
      <c r="AT63" s="228" t="n"/>
      <c r="AU63" s="295" t="n"/>
    </row>
    <row r="64" ht="19.5" customHeight="1" s="204" thickBot="1">
      <c r="A64" s="100" t="inlineStr">
        <is>
          <t>1. The attendance shall be accomplished daily. Refer to the codes for checking learners' attendance.
2. Dates shall be written in the columns after Learner's Name.
3. To compute the following:</t>
        </is>
      </c>
      <c r="Y64" s="4" t="n"/>
      <c r="Z64" s="296" t="inlineStr">
        <is>
          <t>(blank) - Present; (x)- Absent; Tardy (half shaded= Upper for Late Commer, Lower for Cutting Classes)</t>
        </is>
      </c>
      <c r="AK64" s="248" t="n"/>
      <c r="AL64" s="4" t="n"/>
      <c r="AM64" s="237" t="n"/>
      <c r="AN64" s="238" t="n"/>
      <c r="AO64" s="239" t="n"/>
      <c r="AP64" s="237" t="n"/>
      <c r="AQ64" s="239" t="n"/>
      <c r="AR64" s="16" t="inlineStr">
        <is>
          <t>M</t>
        </is>
      </c>
      <c r="AS64" s="16" t="inlineStr">
        <is>
          <t>F</t>
        </is>
      </c>
      <c r="AT64" s="297" t="inlineStr">
        <is>
          <t>TOTAL</t>
        </is>
      </c>
      <c r="AU64" s="273" t="n"/>
    </row>
    <row r="65" ht="13" customHeight="1" s="204">
      <c r="Y65" s="4" t="n"/>
      <c r="Z65" s="247" t="n"/>
      <c r="AK65" s="248" t="n"/>
      <c r="AL65" s="4" t="n"/>
      <c r="AM65" s="298" t="inlineStr">
        <is>
          <t>* Enrolment as of (1st Friday of the SY)</t>
        </is>
      </c>
      <c r="AQ65" s="248" t="n"/>
      <c r="AR65" s="299" t="n"/>
      <c r="AS65" s="300" t="n"/>
      <c r="AT65" s="301" t="n"/>
      <c r="AU65" s="302" t="n"/>
    </row>
    <row r="66" ht="7.5" customHeight="1" s="204">
      <c r="Y66" s="4" t="n"/>
      <c r="Z66" s="303" t="inlineStr">
        <is>
          <t>2. REASONS/CAUSES FOR NLS</t>
        </is>
      </c>
      <c r="AK66" s="248" t="n"/>
      <c r="AL66" s="4" t="n"/>
      <c r="AM66" s="304" t="n"/>
      <c r="AN66" s="305" t="n"/>
      <c r="AO66" s="305" t="n"/>
      <c r="AP66" s="305" t="n"/>
      <c r="AQ66" s="258" t="n"/>
      <c r="AR66" s="306" t="n"/>
      <c r="AS66" s="306" t="n"/>
      <c r="AT66" s="257" t="n"/>
      <c r="AU66" s="307" t="n"/>
    </row>
    <row r="67" ht="6" customHeight="1" s="204">
      <c r="Y67" s="4" t="n"/>
      <c r="Z67" s="247" t="n"/>
      <c r="AK67" s="248" t="n"/>
      <c r="AL67" s="4" t="n"/>
      <c r="AM67" s="308" t="inlineStr">
        <is>
          <t xml:space="preserve">Late enrolment </t>
        </is>
      </c>
      <c r="AO67" s="309" t="n"/>
      <c r="AP67" s="310" t="inlineStr">
        <is>
          <t>during the month</t>
        </is>
      </c>
      <c r="AQ67" s="248" t="n"/>
      <c r="AR67" s="300" t="n"/>
      <c r="AS67" s="300" t="n"/>
      <c r="AT67" s="311" t="n"/>
      <c r="AU67" s="302" t="n"/>
    </row>
    <row r="68" ht="6.75" customHeight="1" s="204">
      <c r="A68" s="4" t="n"/>
      <c r="B68" s="101" t="inlineStr">
        <is>
          <t>a. Percentage of Enrolment =</t>
        </is>
      </c>
      <c r="G68" s="102" t="inlineStr">
        <is>
          <t>Registered Learners as of end of the month</t>
        </is>
      </c>
      <c r="T68" s="91" t="inlineStr">
        <is>
          <t>x 100</t>
        </is>
      </c>
      <c r="W68" s="4" t="n"/>
      <c r="X68" s="4" t="n"/>
      <c r="Y68" s="4" t="n"/>
      <c r="Z68" s="303" t="inlineStr">
        <is>
          <t>a. Domestic-Related Factors</t>
        </is>
      </c>
      <c r="AK68" s="248" t="n"/>
      <c r="AL68" s="4" t="n"/>
      <c r="AM68" s="233" t="n"/>
      <c r="AO68" s="309" t="n"/>
      <c r="AQ68" s="248" t="n"/>
      <c r="AR68" s="312" t="n"/>
      <c r="AS68" s="312" t="n"/>
      <c r="AT68" s="247" t="n"/>
      <c r="AU68" s="240" t="n"/>
    </row>
    <row r="69" ht="3.75" customHeight="1" s="204">
      <c r="A69" s="4" t="n"/>
      <c r="G69" s="305" t="n"/>
      <c r="H69" s="305" t="n"/>
      <c r="I69" s="305" t="n"/>
      <c r="J69" s="305" t="n"/>
      <c r="K69" s="305" t="n"/>
      <c r="L69" s="305" t="n"/>
      <c r="M69" s="305" t="n"/>
      <c r="N69" s="305" t="n"/>
      <c r="O69" s="305" t="n"/>
      <c r="P69" s="305" t="n"/>
      <c r="Q69" s="305" t="n"/>
      <c r="R69" s="305" t="n"/>
      <c r="S69" s="305" t="n"/>
      <c r="W69" s="4" t="n"/>
      <c r="X69" s="4" t="n"/>
      <c r="Y69" s="4" t="n"/>
      <c r="Z69" s="247" t="n"/>
      <c r="AK69" s="248" t="n"/>
      <c r="AL69" s="4" t="n"/>
      <c r="AM69" s="313" t="inlineStr">
        <is>
          <t>(beyond cut-off)</t>
        </is>
      </c>
      <c r="AQ69" s="248" t="n"/>
      <c r="AR69" s="312" t="n"/>
      <c r="AS69" s="312" t="n"/>
      <c r="AT69" s="247" t="n"/>
      <c r="AU69" s="240" t="n"/>
    </row>
    <row r="70" ht="7" customHeight="1" s="204">
      <c r="A70" s="4" t="n"/>
      <c r="G70" s="91" t="inlineStr">
        <is>
          <t>Enrolment as of 1st Friday of the school year</t>
        </is>
      </c>
      <c r="W70" s="4" t="n"/>
      <c r="X70" s="4" t="n"/>
      <c r="Y70" s="4" t="n"/>
      <c r="Z70" s="314" t="inlineStr">
        <is>
          <t>a.1. Had to take care of siblings
a.2. Early marriage/pregnancy
a.3. Parents' attitude toward schooling
a.4. Family problems</t>
        </is>
      </c>
      <c r="AK70" s="248" t="n"/>
      <c r="AL70" s="4" t="n"/>
      <c r="AM70" s="304" t="n"/>
      <c r="AN70" s="305" t="n"/>
      <c r="AO70" s="305" t="n"/>
      <c r="AP70" s="305" t="n"/>
      <c r="AQ70" s="258" t="n"/>
      <c r="AR70" s="306" t="n"/>
      <c r="AS70" s="306" t="n"/>
      <c r="AT70" s="257" t="n"/>
      <c r="AU70" s="307" t="n"/>
    </row>
    <row r="71" ht="9.75" customHeight="1" s="204">
      <c r="A71" s="4" t="n"/>
      <c r="B71" s="101" t="inlineStr">
        <is>
          <t>b. Average Daily Attendance =</t>
        </is>
      </c>
      <c r="G71" s="102" t="inlineStr">
        <is>
          <t>Total Daily Attendance</t>
        </is>
      </c>
      <c r="H71" s="305" t="n"/>
      <c r="I71" s="305" t="n"/>
      <c r="J71" s="305" t="n"/>
      <c r="K71" s="305" t="n"/>
      <c r="L71" s="305" t="n"/>
      <c r="M71" s="305" t="n"/>
      <c r="N71" s="305" t="n"/>
      <c r="O71" s="305" t="n"/>
      <c r="P71" s="305" t="n"/>
      <c r="Q71" s="305" t="n"/>
      <c r="R71" s="305" t="n"/>
      <c r="S71" s="305" t="n"/>
      <c r="T71" s="4" t="n"/>
      <c r="U71" s="4" t="n"/>
      <c r="V71" s="4" t="n"/>
      <c r="W71" s="4" t="n"/>
      <c r="X71" s="4" t="n"/>
      <c r="Y71" s="4" t="n"/>
      <c r="Z71" s="247" t="n"/>
      <c r="AK71" s="248" t="n"/>
      <c r="AL71" s="4" t="n"/>
      <c r="AM71" s="315" t="inlineStr">
        <is>
          <t>Registered Learners as of</t>
        </is>
      </c>
      <c r="AN71" s="291" t="n"/>
      <c r="AO71" s="291" t="n"/>
      <c r="AP71" s="291" t="n"/>
      <c r="AQ71" s="242" t="n"/>
      <c r="AR71" s="316" t="n"/>
      <c r="AS71" s="316" t="n"/>
      <c r="AT71" s="317" t="n"/>
      <c r="AU71" s="302" t="n"/>
    </row>
    <row r="72" ht="9.75" customHeight="1" s="204">
      <c r="A72" s="4" t="n"/>
      <c r="G72" s="91" t="inlineStr">
        <is>
          <t>Number of School Days in reporting month</t>
        </is>
      </c>
      <c r="T72" s="4" t="n"/>
      <c r="U72" s="4" t="n"/>
      <c r="V72" s="4" t="n"/>
      <c r="W72" s="4" t="n"/>
      <c r="X72" s="4" t="n"/>
      <c r="Y72" s="4" t="n"/>
      <c r="Z72" s="247" t="n"/>
      <c r="AK72" s="248" t="n"/>
      <c r="AL72" s="4" t="n"/>
      <c r="AM72" s="318" t="inlineStr">
        <is>
          <t>end of month</t>
        </is>
      </c>
      <c r="AN72" s="305" t="n"/>
      <c r="AO72" s="305" t="n"/>
      <c r="AP72" s="305" t="n"/>
      <c r="AQ72" s="258" t="n"/>
      <c r="AR72" s="306" t="n"/>
      <c r="AS72" s="306" t="n"/>
      <c r="AT72" s="257" t="n"/>
      <c r="AU72" s="307" t="n"/>
    </row>
    <row r="73" ht="10.5" customHeight="1" s="204">
      <c r="A73" s="4" t="n"/>
      <c r="B73" s="101" t="inlineStr">
        <is>
          <t>c. Percentage of Attendance for the month =</t>
        </is>
      </c>
      <c r="G73" s="102" t="inlineStr">
        <is>
          <t>Average daily attendance</t>
        </is>
      </c>
      <c r="H73" s="305" t="n"/>
      <c r="I73" s="305" t="n"/>
      <c r="J73" s="305" t="n"/>
      <c r="K73" s="305" t="n"/>
      <c r="L73" s="305" t="n"/>
      <c r="M73" s="305" t="n"/>
      <c r="N73" s="305" t="n"/>
      <c r="O73" s="305" t="n"/>
      <c r="P73" s="305" t="n"/>
      <c r="Q73" s="305" t="n"/>
      <c r="R73" s="305" t="n"/>
      <c r="S73" s="305" t="n"/>
      <c r="T73" s="91" t="inlineStr">
        <is>
          <t>x 100</t>
        </is>
      </c>
      <c r="W73" s="4" t="n"/>
      <c r="X73" s="4" t="n"/>
      <c r="Y73" s="4" t="n"/>
      <c r="Z73" s="247" t="n"/>
      <c r="AK73" s="248" t="n"/>
      <c r="AL73" s="4" t="n"/>
      <c r="AM73" s="315" t="inlineStr">
        <is>
          <t>Percentage of Enrolment as of</t>
        </is>
      </c>
      <c r="AN73" s="291" t="n"/>
      <c r="AO73" s="291" t="n"/>
      <c r="AP73" s="291" t="n"/>
      <c r="AQ73" s="242" t="n"/>
      <c r="AR73" s="319" t="n"/>
      <c r="AS73" s="319" t="n"/>
      <c r="AT73" s="320" t="n"/>
      <c r="AU73" s="302" t="n"/>
    </row>
    <row r="74" ht="12" customHeight="1" s="204">
      <c r="A74" s="4" t="n"/>
      <c r="G74" s="91" t="inlineStr">
        <is>
          <t>Registered Learners as of end of the month</t>
        </is>
      </c>
      <c r="W74" s="4" t="n"/>
      <c r="X74" s="4" t="n"/>
      <c r="Y74" s="4" t="n"/>
      <c r="Z74" s="303" t="inlineStr">
        <is>
          <t>b. Individual-Related Factors</t>
        </is>
      </c>
      <c r="AK74" s="248" t="n"/>
      <c r="AL74" s="4" t="n"/>
      <c r="AM74" s="318" t="inlineStr">
        <is>
          <t>end of month</t>
        </is>
      </c>
      <c r="AN74" s="305" t="n"/>
      <c r="AO74" s="305" t="n"/>
      <c r="AP74" s="305" t="n"/>
      <c r="AQ74" s="258" t="n"/>
      <c r="AR74" s="306" t="n"/>
      <c r="AS74" s="306" t="n"/>
      <c r="AT74" s="257" t="n"/>
      <c r="AU74" s="307" t="n"/>
    </row>
    <row r="75" ht="14.25" customHeight="1" s="204">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314" t="inlineStr">
        <is>
          <t>b.1. Illness
b.2. Overage
b.3. Death
b.4. Drug Abuse
b.5. Poor academic performance
b.6. Lack of interest/Distractions
b.7. Hunger/Malnutrition</t>
        </is>
      </c>
      <c r="AK75" s="248" t="n"/>
      <c r="AL75" s="4" t="n"/>
      <c r="AM75" s="313" t="inlineStr">
        <is>
          <t>Average Daily Attendance</t>
        </is>
      </c>
      <c r="AQ75" s="248" t="n"/>
      <c r="AR75" s="17" t="n"/>
      <c r="AS75" s="17" t="n"/>
      <c r="AT75" s="321" t="n"/>
      <c r="AU75" s="302" t="n"/>
    </row>
    <row r="76" ht="1.5" customHeight="1" s="204">
      <c r="A76" s="100" t="inlineStr">
        <is>
          <t>4. Every end of the month, the class adviser will submit this form to the office of the principal for recording of summary table into School Form 4. Once signed by the principal, this form should be returned to the adviser.
5. The adviser will provide neccessary interventions including but not limited to home visitation to learner/s who were absent for 5 consecutive days and/or those at risk of dropping out.
6.  Attendance performance of learners will be reflected in Form 137 and Form 138 every grading period.</t>
        </is>
      </c>
      <c r="Y76" s="4" t="n"/>
      <c r="Z76" s="247" t="n"/>
      <c r="AK76" s="248" t="n"/>
      <c r="AL76" s="4" t="n"/>
      <c r="AM76" s="304" t="n"/>
      <c r="AN76" s="305" t="n"/>
      <c r="AO76" s="305" t="n"/>
      <c r="AP76" s="305" t="n"/>
      <c r="AQ76" s="258" t="n"/>
      <c r="AR76" s="306" t="n"/>
      <c r="AS76" s="306" t="n"/>
      <c r="AT76" s="257" t="n"/>
      <c r="AU76" s="307" t="n"/>
    </row>
    <row r="77" ht="17.25" customHeight="1" s="204">
      <c r="Y77" s="4" t="n"/>
      <c r="Z77" s="247" t="n"/>
      <c r="AK77" s="248" t="n"/>
      <c r="AL77" s="4" t="n"/>
      <c r="AM77" s="313" t="inlineStr">
        <is>
          <t>Percentage of Attendance for the month</t>
        </is>
      </c>
      <c r="AN77" s="305" t="n"/>
      <c r="AO77" s="305" t="n"/>
      <c r="AP77" s="305" t="n"/>
      <c r="AQ77" s="258" t="n"/>
      <c r="AR77" s="17" t="n"/>
      <c r="AS77" s="17" t="n"/>
      <c r="AT77" s="321" t="n"/>
      <c r="AU77" s="255" t="n"/>
    </row>
    <row r="78" ht="17.25" customHeight="1" s="204">
      <c r="Y78" s="4" t="n"/>
      <c r="Z78" s="247" t="n"/>
      <c r="AK78" s="248" t="n"/>
      <c r="AL78" s="4" t="n"/>
      <c r="AM78" s="313" t="inlineStr">
        <is>
          <t>Number of students absent for 5 consecutive days</t>
        </is>
      </c>
      <c r="AN78" s="305" t="n"/>
      <c r="AO78" s="305" t="n"/>
      <c r="AP78" s="305" t="n"/>
      <c r="AQ78" s="258" t="n"/>
      <c r="AR78" s="18" t="n"/>
      <c r="AS78" s="18" t="n"/>
      <c r="AT78" s="322" t="n"/>
      <c r="AU78" s="255" t="n"/>
    </row>
    <row r="79" ht="9.75" customHeight="1" s="204">
      <c r="Y79" s="4" t="n"/>
      <c r="Z79" s="247" t="n"/>
      <c r="AK79" s="248" t="n"/>
      <c r="AL79" s="4" t="n"/>
      <c r="AM79" s="323" t="inlineStr">
        <is>
          <t>NLS</t>
        </is>
      </c>
      <c r="AN79" s="291" t="n"/>
      <c r="AO79" s="291" t="n"/>
      <c r="AP79" s="291" t="n"/>
      <c r="AQ79" s="242" t="n"/>
      <c r="AR79" s="18" t="n"/>
      <c r="AS79" s="18" t="n"/>
      <c r="AT79" s="322" t="n"/>
      <c r="AU79" s="302" t="n"/>
    </row>
    <row r="80" ht="9.75" customHeight="1" s="204">
      <c r="A80" s="4" t="n"/>
      <c r="B80" s="324" t="inlineStr">
        <is>
          <t>*Beginning of School Year cut-off report is every 1st Friday of the School Year</t>
        </is>
      </c>
      <c r="C80" s="325" t="n"/>
      <c r="D80" s="325" t="n"/>
      <c r="E80" s="325" t="n"/>
      <c r="F80" s="325" t="n"/>
      <c r="G80" s="325" t="n"/>
      <c r="H80" s="325" t="n"/>
      <c r="I80" s="325" t="n"/>
      <c r="J80" s="325" t="n"/>
      <c r="K80" s="325" t="n"/>
      <c r="L80" s="325" t="n"/>
      <c r="M80" s="325" t="n"/>
      <c r="N80" s="325" t="n"/>
      <c r="O80" s="325" t="n"/>
      <c r="P80" s="325" t="n"/>
      <c r="Q80" s="325" t="n"/>
      <c r="R80" s="325" t="n"/>
      <c r="S80" s="325" t="n"/>
      <c r="T80" s="325" t="n"/>
      <c r="U80" s="325" t="n"/>
      <c r="V80" s="325" t="n"/>
      <c r="W80" s="325" t="n"/>
      <c r="X80" s="326" t="n"/>
      <c r="Y80" s="4" t="n"/>
      <c r="Z80" s="303" t="inlineStr">
        <is>
          <t>c. School-Related Factors</t>
        </is>
      </c>
      <c r="AK80" s="248" t="n"/>
      <c r="AL80" s="4" t="n"/>
      <c r="AM80" s="304" t="n"/>
      <c r="AN80" s="305" t="n"/>
      <c r="AO80" s="305" t="n"/>
      <c r="AP80" s="305" t="n"/>
      <c r="AQ80" s="258" t="n"/>
      <c r="AR80" s="306" t="n"/>
      <c r="AS80" s="306" t="n"/>
      <c r="AT80" s="257" t="n"/>
      <c r="AU80" s="307" t="n"/>
    </row>
    <row r="81" ht="9.75" customHeight="1" s="204">
      <c r="A81" s="4" t="n"/>
      <c r="B81" s="327" t="n"/>
      <c r="X81" s="309" t="n"/>
      <c r="Y81" s="4" t="n"/>
      <c r="Z81" s="247" t="n"/>
      <c r="AK81" s="248" t="n"/>
      <c r="AL81" s="4" t="n"/>
      <c r="AM81" s="328" t="inlineStr">
        <is>
          <t>Transferred out</t>
        </is>
      </c>
      <c r="AQ81" s="248" t="n"/>
      <c r="AR81" s="18" t="n"/>
      <c r="AS81" s="18" t="n"/>
      <c r="AT81" s="322" t="n"/>
      <c r="AU81" s="302" t="n"/>
    </row>
    <row r="82" ht="9.75" customHeight="1" s="204">
      <c r="A82" s="4" t="n"/>
      <c r="B82" s="327" t="n"/>
      <c r="X82" s="309" t="n"/>
      <c r="Y82" s="4" t="n"/>
      <c r="Z82" s="314" t="inlineStr">
        <is>
          <t>c.1. Teacher Factor
c.2. Physical condition of classroom
c.3. Peer influence</t>
        </is>
      </c>
      <c r="AK82" s="248" t="n"/>
      <c r="AL82" s="4" t="n"/>
      <c r="AM82" s="304" t="n"/>
      <c r="AN82" s="305" t="n"/>
      <c r="AO82" s="305" t="n"/>
      <c r="AP82" s="305" t="n"/>
      <c r="AQ82" s="258" t="n"/>
      <c r="AR82" s="306" t="n"/>
      <c r="AS82" s="306" t="n"/>
      <c r="AT82" s="257" t="n"/>
      <c r="AU82" s="307" t="n"/>
    </row>
    <row r="83" ht="4.5" customHeight="1" s="204">
      <c r="A83" s="4" t="n"/>
      <c r="B83" s="329" t="n"/>
      <c r="C83" s="330" t="n"/>
      <c r="D83" s="330" t="n"/>
      <c r="E83" s="330" t="n"/>
      <c r="F83" s="330" t="n"/>
      <c r="G83" s="330" t="n"/>
      <c r="H83" s="330" t="n"/>
      <c r="I83" s="330" t="n"/>
      <c r="J83" s="330" t="n"/>
      <c r="K83" s="330" t="n"/>
      <c r="L83" s="330" t="n"/>
      <c r="M83" s="330" t="n"/>
      <c r="N83" s="330" t="n"/>
      <c r="O83" s="330" t="n"/>
      <c r="P83" s="330" t="n"/>
      <c r="Q83" s="330" t="n"/>
      <c r="R83" s="330" t="n"/>
      <c r="S83" s="330" t="n"/>
      <c r="T83" s="330" t="n"/>
      <c r="U83" s="330" t="n"/>
      <c r="V83" s="330" t="n"/>
      <c r="W83" s="330" t="n"/>
      <c r="X83" s="331" t="n"/>
      <c r="Y83" s="4" t="n"/>
      <c r="Z83" s="247" t="n"/>
      <c r="AK83" s="248" t="n"/>
      <c r="AL83" s="4" t="n"/>
      <c r="AM83" s="332" t="inlineStr">
        <is>
          <t>Transferred in</t>
        </is>
      </c>
      <c r="AQ83" s="248" t="n"/>
      <c r="AR83" s="333" t="n"/>
      <c r="AS83" s="333" t="n"/>
      <c r="AT83" s="322" t="n"/>
      <c r="AU83" s="302" t="n"/>
    </row>
    <row r="84" ht="15" customHeight="1" s="204" thickBot="1">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247" t="n"/>
      <c r="AK84" s="248" t="n"/>
      <c r="AL84" s="4" t="n"/>
      <c r="AM84" s="237" t="n"/>
      <c r="AN84" s="238" t="n"/>
      <c r="AO84" s="238" t="n"/>
      <c r="AP84" s="238" t="n"/>
      <c r="AQ84" s="288" t="n"/>
      <c r="AR84" s="334" t="n"/>
      <c r="AS84" s="334" t="n"/>
      <c r="AT84" s="257" t="n"/>
      <c r="AU84" s="307" t="n"/>
    </row>
    <row r="85" ht="21" customHeight="1" s="204">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247" t="n"/>
      <c r="AK85" s="248" t="n"/>
      <c r="AL85" s="4" t="n"/>
      <c r="AM85" s="4" t="n"/>
      <c r="AN85" s="4" t="n"/>
      <c r="AO85" s="4" t="n"/>
      <c r="AP85" s="4" t="n"/>
      <c r="AQ85" s="4" t="n"/>
      <c r="AR85" s="4" t="n"/>
      <c r="AS85" s="4" t="n"/>
      <c r="AT85" s="4" t="n"/>
      <c r="AU85" s="4" t="n"/>
    </row>
    <row r="86" ht="9" customHeight="1" s="204">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303" t="inlineStr">
        <is>
          <t>d. Geographic/Environmental</t>
        </is>
      </c>
      <c r="AK86" s="248" t="n"/>
      <c r="AL86" s="4" t="n"/>
      <c r="AM86" s="66" t="inlineStr">
        <is>
          <t>I certify that this is a true and correct report.</t>
        </is>
      </c>
    </row>
    <row r="87" ht="9" customHeight="1" s="204">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314" t="inlineStr">
        <is>
          <t>d.1. Distance between home and school
d.2. Armed conflict (incl. Tribal wars &amp; clanfeuds)
d.3. Calamities/Disasters</t>
        </is>
      </c>
      <c r="AK87" s="248" t="n"/>
      <c r="AL87" s="4" t="n"/>
    </row>
    <row r="88" ht="12" customHeight="1" s="204">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247" t="n"/>
      <c r="AK88" s="248" t="n"/>
      <c r="AL88" s="4" t="n"/>
      <c r="AM88" s="4" t="n"/>
      <c r="AN88" s="68" t="n"/>
    </row>
    <row r="89" ht="6.75" customHeight="1" s="204" thickBot="1">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303" t="inlineStr">
        <is>
          <t>e. Financial-Related</t>
        </is>
      </c>
      <c r="AK89" s="248" t="n"/>
      <c r="AL89" s="4" t="n"/>
      <c r="AM89" s="4" t="n"/>
      <c r="AN89" s="238" t="n"/>
      <c r="AO89" s="238" t="n"/>
      <c r="AP89" s="238" t="n"/>
      <c r="AQ89" s="238" t="n"/>
      <c r="AR89" s="238" t="n"/>
      <c r="AS89" s="238" t="n"/>
      <c r="AT89" s="238" t="n"/>
      <c r="AU89" s="238" t="n"/>
    </row>
    <row r="90" ht="11.5" customHeight="1" s="204">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314" t="inlineStr">
        <is>
          <t>e.1. Child labor, work</t>
        </is>
      </c>
      <c r="AK90" s="248" t="n"/>
      <c r="AL90" s="4" t="n"/>
      <c r="AM90" s="4" t="n"/>
      <c r="AN90" s="58" t="inlineStr">
        <is>
          <t>(Signature of Adviser over Printed Name)</t>
        </is>
      </c>
    </row>
    <row r="91" ht="9.75" customHeight="1" s="204">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335" t="inlineStr">
        <is>
          <t>f. Others (Specify)</t>
        </is>
      </c>
      <c r="AK91" s="248" t="n"/>
      <c r="AL91" s="4" t="n"/>
      <c r="AM91" s="4" t="n"/>
    </row>
    <row r="92" ht="9.75" customHeight="1" s="204">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257" t="n"/>
      <c r="AA92" s="305" t="n"/>
      <c r="AB92" s="305" t="n"/>
      <c r="AC92" s="305" t="n"/>
      <c r="AD92" s="305" t="n"/>
      <c r="AE92" s="305" t="n"/>
      <c r="AF92" s="305" t="n"/>
      <c r="AG92" s="305" t="n"/>
      <c r="AH92" s="305" t="n"/>
      <c r="AI92" s="305" t="n"/>
      <c r="AJ92" s="305" t="n"/>
      <c r="AK92" s="258" t="n"/>
      <c r="AL92" s="4" t="n"/>
      <c r="AM92" s="66" t="inlineStr">
        <is>
          <t>Attested by:</t>
        </is>
      </c>
    </row>
    <row r="93" ht="9.75" customHeight="1" s="204">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c r="AA93" s="4" t="n"/>
      <c r="AB93" s="4" t="n"/>
      <c r="AC93" s="4" t="n"/>
      <c r="AD93" s="4" t="n"/>
      <c r="AE93" s="4" t="n"/>
      <c r="AF93" s="4" t="n"/>
      <c r="AG93" s="4" t="n"/>
      <c r="AH93" s="4" t="n"/>
      <c r="AI93" s="4" t="n"/>
      <c r="AJ93" s="4" t="n"/>
      <c r="AK93" s="4" t="n"/>
      <c r="AL93" s="4" t="n"/>
    </row>
    <row r="94" ht="13" customHeight="1" s="204">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67" t="n"/>
      <c r="AL94" s="4" t="n"/>
      <c r="AM94" s="4" t="n"/>
      <c r="AN94" s="68" t="n"/>
      <c r="AO94" s="238" t="n"/>
      <c r="AP94" s="238" t="n"/>
      <c r="AQ94" s="238" t="n"/>
      <c r="AR94" s="238" t="n"/>
      <c r="AS94" s="238" t="n"/>
      <c r="AT94" s="238" t="n"/>
      <c r="AU94" s="4" t="n"/>
    </row>
    <row r="95" ht="19.5" customHeight="1" s="204">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56" t="inlineStr">
        <is>
          <t>Generated thru LIS</t>
        </is>
      </c>
      <c r="AA95" s="223" t="n"/>
      <c r="AB95" s="223" t="n"/>
      <c r="AC95" s="223" t="n"/>
      <c r="AD95" s="223" t="n"/>
      <c r="AE95" s="223" t="n"/>
      <c r="AF95" s="223" t="n"/>
      <c r="AG95" s="223" t="n"/>
      <c r="AH95" s="223" t="n"/>
      <c r="AI95" s="223" t="n"/>
      <c r="AJ95" s="223" t="n"/>
      <c r="AK95" s="223" t="n"/>
      <c r="AL95" s="4" t="n"/>
      <c r="AM95" s="4" t="n"/>
      <c r="AN95" s="58" t="inlineStr">
        <is>
          <t>(Signature of School Head over Printed Name)</t>
        </is>
      </c>
    </row>
    <row r="96" ht="9.75" customHeight="1" s="204"/>
    <row r="97" ht="9.75" customHeight="1" s="204"/>
    <row r="98" ht="9.75" customHeight="1" s="204"/>
    <row r="99" ht="10.5" customHeight="1" s="204"/>
    <row r="100" ht="9" customHeight="1" s="204"/>
    <row r="101" ht="22.5" customHeight="1" s="204"/>
    <row r="102" ht="9.75" customHeight="1" s="204"/>
    <row r="103" ht="12.75" customHeight="1" s="204"/>
    <row r="104" ht="12.75" customHeight="1" s="204"/>
    <row r="105" ht="12.75" customHeight="1" s="204"/>
    <row r="106" ht="12.75" customHeight="1" s="204"/>
    <row r="107" ht="12.75" customHeight="1" s="204"/>
    <row r="108" ht="12.75" customHeight="1" s="204"/>
    <row r="109" ht="12.75" customHeight="1" s="204"/>
    <row r="110" ht="12.75" customHeight="1" s="204"/>
    <row r="111" ht="12.75" customHeight="1" s="204"/>
    <row r="112" ht="12.75" customHeight="1" s="204"/>
    <row r="113" ht="12.75" customHeight="1" s="204"/>
    <row r="114" ht="12.75" customHeight="1" s="204"/>
    <row r="115" ht="12.75" customHeight="1" s="204"/>
    <row r="116" ht="12.75" customHeight="1" s="204"/>
    <row r="117" ht="12.75" customHeight="1" s="204"/>
    <row r="118" ht="12.75" customHeight="1" s="204"/>
    <row r="119" ht="12.75" customHeight="1" s="204"/>
    <row r="120" ht="12.75" customHeight="1" s="204"/>
    <row r="121" ht="12.75" customHeight="1" s="204"/>
    <row r="122" ht="12.75" customHeight="1" s="204"/>
    <row r="123" ht="12.75" customHeight="1" s="204"/>
    <row r="124" ht="12.75" customHeight="1" s="204"/>
    <row r="125" ht="12.75" customHeight="1" s="204"/>
    <row r="126" ht="12.75" customHeight="1" s="204"/>
    <row r="127" ht="12.75" customHeight="1" s="204"/>
    <row r="128" ht="12.75" customHeight="1" s="204"/>
    <row r="129" ht="12.75" customHeight="1" s="204"/>
    <row r="130" ht="12.75" customHeight="1" s="204"/>
    <row r="131" ht="12.75" customHeight="1" s="204"/>
    <row r="132" ht="12.75" customHeight="1" s="204"/>
    <row r="133" ht="12.75" customHeight="1" s="204"/>
    <row r="134" ht="12.75" customHeight="1" s="204"/>
    <row r="135" ht="12.75" customHeight="1" s="204"/>
    <row r="136" ht="12.75" customHeight="1" s="204"/>
    <row r="137" ht="12.75" customHeight="1" s="204"/>
    <row r="138" ht="12.75" customHeight="1" s="204"/>
    <row r="139" ht="12.75" customHeight="1" s="204"/>
    <row r="140" ht="12.75" customHeight="1" s="204"/>
    <row r="141" ht="12.75" customHeight="1" s="204"/>
    <row r="142" ht="12.75" customHeight="1" s="204"/>
    <row r="143" ht="12.75" customHeight="1" s="204"/>
    <row r="144" ht="12.75" customHeight="1" s="204"/>
    <row r="145" ht="12.75" customHeight="1" s="204"/>
    <row r="146" ht="12.75" customHeight="1" s="204"/>
    <row r="147" ht="12.75" customHeight="1" s="204"/>
    <row r="148" ht="12.75" customHeight="1" s="204"/>
    <row r="149" ht="12.75" customHeight="1" s="204"/>
    <row r="150" ht="12.75" customHeight="1" s="204"/>
    <row r="151" ht="12.75" customHeight="1" s="204"/>
    <row r="152" ht="12.75" customHeight="1" s="204"/>
    <row r="153" ht="12.75" customHeight="1" s="204"/>
    <row r="154" ht="12.75" customHeight="1" s="204"/>
    <row r="155" ht="12.75" customHeight="1" s="204"/>
    <row r="156" ht="12.75" customHeight="1" s="204"/>
    <row r="157" ht="12.75" customHeight="1" s="204"/>
    <row r="158" ht="12.75" customHeight="1" s="204"/>
    <row r="159" ht="12.75" customHeight="1" s="204"/>
    <row r="160" ht="12.75" customHeight="1" s="204"/>
    <row r="161" ht="12.75" customHeight="1" s="204"/>
    <row r="162" ht="12.75" customHeight="1" s="204"/>
    <row r="163" ht="12.75" customHeight="1" s="204"/>
    <row r="164" ht="12.75" customHeight="1" s="204"/>
    <row r="165" ht="12.75" customHeight="1" s="204"/>
    <row r="166" ht="12.75" customHeight="1" s="204"/>
    <row r="167" ht="12.75" customHeight="1" s="204"/>
    <row r="168" ht="12.75" customHeight="1" s="204"/>
    <row r="169" ht="12.75" customHeight="1" s="204"/>
    <row r="170" ht="12.75" customHeight="1" s="204"/>
    <row r="171" ht="12.75" customHeight="1" s="204"/>
    <row r="172" ht="12.75" customHeight="1" s="204"/>
    <row r="173" ht="12.75" customHeight="1" s="204"/>
    <row r="174" ht="12.75" customHeight="1" s="204"/>
    <row r="175" ht="12.75" customHeight="1" s="204"/>
    <row r="176" ht="12.75" customHeight="1" s="204"/>
    <row r="177" ht="12.75" customHeight="1" s="204"/>
    <row r="178" ht="12.75" customHeight="1" s="204"/>
    <row r="179" ht="12.75" customHeight="1" s="204"/>
    <row r="180" ht="12.75" customHeight="1" s="204"/>
    <row r="181" ht="12.75" customHeight="1" s="204"/>
    <row r="182" ht="12.75" customHeight="1" s="204"/>
    <row r="183" ht="12.75" customHeight="1" s="204"/>
    <row r="184" ht="12.75" customHeight="1" s="204"/>
    <row r="185" ht="12.75" customHeight="1" s="204"/>
    <row r="186" ht="12.75" customHeight="1" s="204"/>
    <row r="187" ht="12.75" customHeight="1" s="204"/>
    <row r="188" ht="12.75" customHeight="1" s="204"/>
    <row r="189" ht="12.75" customHeight="1" s="204"/>
    <row r="190" ht="12.75" customHeight="1" s="204"/>
    <row r="191" ht="12.75" customHeight="1" s="204"/>
    <row r="192" ht="12.75" customHeight="1" s="204"/>
    <row r="193" ht="12.75" customHeight="1" s="204"/>
    <row r="194" ht="12.75" customHeight="1" s="204"/>
    <row r="195" ht="12.75" customHeight="1" s="204"/>
    <row r="196" ht="12.75" customHeight="1" s="204"/>
    <row r="197" ht="12.75" customHeight="1" s="204"/>
    <row r="198" ht="12.75" customHeight="1" s="204"/>
    <row r="199" ht="12.75" customHeight="1" s="204"/>
    <row r="200" ht="12.75" customHeight="1" s="204"/>
    <row r="201" ht="12.75" customHeight="1" s="204"/>
    <row r="202" ht="12.75" customHeight="1" s="204"/>
    <row r="203" ht="12.75" customHeight="1" s="204"/>
    <row r="204" ht="12.75" customHeight="1" s="204"/>
    <row r="205" ht="12.75" customHeight="1" s="204"/>
    <row r="206" ht="12.75" customHeight="1" s="204"/>
    <row r="207" ht="12.75" customHeight="1" s="204"/>
    <row r="208" ht="12.75" customHeight="1" s="204"/>
    <row r="209" ht="12.75" customHeight="1" s="204"/>
    <row r="210" ht="12.75" customHeight="1" s="204"/>
    <row r="211" ht="12.75" customHeight="1" s="204"/>
    <row r="212" ht="12.75" customHeight="1" s="204"/>
    <row r="213" ht="12.75" customHeight="1" s="204"/>
    <row r="214" ht="12.75" customHeight="1" s="204"/>
    <row r="215" ht="12.75" customHeight="1" s="204"/>
    <row r="216" ht="12.75" customHeight="1" s="204"/>
    <row r="217" ht="12.75" customHeight="1" s="204"/>
    <row r="218" ht="12.75" customHeight="1" s="204"/>
    <row r="219" ht="12.75" customHeight="1" s="204"/>
    <row r="220" ht="12.75" customHeight="1" s="204"/>
    <row r="221" ht="12.75" customHeight="1" s="204"/>
    <row r="222" ht="12.75" customHeight="1" s="204"/>
    <row r="223" ht="12.75" customHeight="1" s="204"/>
    <row r="224" ht="12.75" customHeight="1" s="204"/>
    <row r="225" ht="12.75" customHeight="1" s="204"/>
    <row r="226" ht="12.75" customHeight="1" s="204"/>
    <row r="227" ht="12.75" customHeight="1" s="204"/>
    <row r="228" ht="12.75" customHeight="1" s="204"/>
    <row r="229" ht="12.75" customHeight="1" s="204"/>
    <row r="230" ht="12.75" customHeight="1" s="204"/>
    <row r="231" ht="12.75" customHeight="1" s="204"/>
    <row r="232" ht="12.75" customHeight="1" s="204"/>
    <row r="233" ht="12.75" customHeight="1" s="204"/>
    <row r="234" ht="12.75" customHeight="1" s="204"/>
    <row r="235" ht="12.75" customHeight="1" s="204"/>
    <row r="236" ht="12.75" customHeight="1" s="204"/>
    <row r="237" ht="12.75" customHeight="1" s="204"/>
    <row r="238" ht="12.75" customHeight="1" s="204"/>
    <row r="239" ht="12.75" customHeight="1" s="204"/>
    <row r="240" ht="12.75" customHeight="1" s="204"/>
    <row r="241" ht="12.75" customHeight="1" s="204"/>
    <row r="242" ht="12.75" customHeight="1" s="204"/>
    <row r="243" ht="12.75" customHeight="1" s="204"/>
    <row r="244" ht="12.75" customHeight="1" s="204"/>
    <row r="245" ht="12.75" customHeight="1" s="204"/>
    <row r="246" ht="12.75" customHeight="1" s="204"/>
    <row r="247" ht="12.75" customHeight="1" s="204"/>
    <row r="248" ht="12.75" customHeight="1" s="204"/>
    <row r="249" ht="12.75" customHeight="1" s="204"/>
    <row r="250" ht="12.75" customHeight="1" s="204"/>
    <row r="251" ht="12.75" customHeight="1" s="204"/>
    <row r="252" ht="12.75" customHeight="1" s="204"/>
    <row r="253" ht="12.75" customHeight="1" s="204"/>
    <row r="254" ht="12.75" customHeight="1" s="204"/>
    <row r="255" ht="12.75" customHeight="1" s="204"/>
    <row r="256" ht="12.75" customHeight="1" s="204"/>
    <row r="257" ht="12.75" customHeight="1" s="204"/>
    <row r="258" ht="12.75" customHeight="1" s="204"/>
    <row r="259" ht="12.75" customHeight="1" s="204"/>
    <row r="260" ht="12.75" customHeight="1" s="204"/>
    <row r="261" ht="12.75" customHeight="1" s="204"/>
    <row r="262" ht="12.75" customHeight="1" s="204"/>
    <row r="263" ht="12.75" customHeight="1" s="204"/>
    <row r="264" ht="12.75" customHeight="1" s="204"/>
    <row r="265" ht="12.75" customHeight="1" s="204"/>
    <row r="266" ht="12.75" customHeight="1" s="204"/>
    <row r="267" ht="12.75" customHeight="1" s="204"/>
    <row r="268" ht="12.75" customHeight="1" s="204"/>
    <row r="269" ht="12.75" customHeight="1" s="204"/>
    <row r="270" ht="12.75" customHeight="1" s="204"/>
    <row r="271" ht="12.75" customHeight="1" s="204"/>
    <row r="272" ht="12.75" customHeight="1" s="204"/>
    <row r="273" ht="12.75" customHeight="1" s="204"/>
    <row r="274" ht="12.75" customHeight="1" s="204"/>
    <row r="275" ht="12.75" customHeight="1" s="204"/>
    <row r="276" ht="12.75" customHeight="1" s="204"/>
    <row r="277" ht="12.75" customHeight="1" s="204"/>
    <row r="278" ht="12.75" customHeight="1" s="204"/>
    <row r="279" ht="12.75" customHeight="1" s="204"/>
    <row r="280" ht="12.75" customHeight="1" s="204"/>
    <row r="281" ht="12.75" customHeight="1" s="204"/>
    <row r="282" ht="12.75" customHeight="1" s="204"/>
    <row r="283" ht="12.75" customHeight="1" s="204"/>
    <row r="284" ht="12.75" customHeight="1" s="204"/>
    <row r="285" ht="12.75" customHeight="1" s="204"/>
    <row r="286" ht="12.75" customHeight="1" s="204"/>
    <row r="287" ht="12.75" customHeight="1" s="204"/>
    <row r="288" ht="12.75" customHeight="1" s="204"/>
    <row r="289" ht="12.75" customHeight="1" s="204"/>
    <row r="290" ht="12.75" customHeight="1" s="204"/>
    <row r="291" ht="12.75" customHeight="1" s="204"/>
    <row r="292" ht="12.75" customHeight="1" s="204"/>
    <row r="293" ht="12.75" customHeight="1" s="204"/>
    <row r="294" ht="12.75" customHeight="1" s="204"/>
    <row r="295" ht="12.75" customHeight="1" s="204"/>
    <row r="296" ht="12.75" customHeight="1" s="204"/>
    <row r="297" ht="12.75" customHeight="1" s="204"/>
    <row r="298" ht="12.75" customHeight="1" s="204"/>
    <row r="299" ht="12.75" customHeight="1" s="204"/>
    <row r="300" ht="12.75" customHeight="1" s="204"/>
    <row r="301" ht="12.75" customHeight="1" s="204"/>
    <row r="302" ht="12.75" customHeight="1" s="204"/>
    <row r="303" ht="12.75" customHeight="1" s="204"/>
    <row r="304" ht="12.75" customHeight="1" s="204"/>
    <row r="305" ht="12.75" customHeight="1" s="204"/>
    <row r="306" ht="12.75" customHeight="1" s="204"/>
    <row r="307" ht="12.75" customHeight="1" s="204"/>
    <row r="308" ht="12.75" customHeight="1" s="204"/>
    <row r="309" ht="12.75" customHeight="1" s="204"/>
    <row r="310" ht="12.75" customHeight="1" s="204"/>
    <row r="311" ht="12.75" customHeight="1" s="204"/>
    <row r="312" ht="12.75" customHeight="1" s="204"/>
    <row r="313" ht="12.75" customHeight="1" s="204"/>
    <row r="314" ht="12.75" customHeight="1" s="204"/>
    <row r="315" ht="12.75" customHeight="1" s="204"/>
    <row r="316" ht="12.75" customHeight="1" s="204"/>
    <row r="317" ht="12.75" customHeight="1" s="204"/>
    <row r="318" ht="12.75" customHeight="1" s="204"/>
    <row r="319" ht="12.75" customHeight="1" s="204"/>
    <row r="320" ht="12.75" customHeight="1" s="204"/>
    <row r="321" ht="12.75" customHeight="1" s="204"/>
    <row r="322" ht="12.75" customHeight="1" s="204"/>
    <row r="323" ht="12.75" customHeight="1" s="204"/>
    <row r="324" ht="12.75" customHeight="1" s="204"/>
    <row r="325" ht="12.75" customHeight="1" s="204"/>
    <row r="326" ht="12.75" customHeight="1" s="204"/>
    <row r="327" ht="12.75" customHeight="1" s="204"/>
    <row r="328" ht="12.75" customHeight="1" s="204"/>
    <row r="329" ht="12.75" customHeight="1" s="204"/>
    <row r="330" ht="12.75" customHeight="1" s="204"/>
    <row r="331" ht="12.75" customHeight="1" s="204"/>
    <row r="332" ht="12.75" customHeight="1" s="204"/>
    <row r="333" ht="12.75" customHeight="1" s="204"/>
    <row r="334" ht="12.75" customHeight="1" s="204"/>
    <row r="335" ht="12.75" customHeight="1" s="204"/>
    <row r="336" ht="12.75" customHeight="1" s="204"/>
    <row r="337" ht="12.75" customHeight="1" s="204"/>
    <row r="338" ht="12.75" customHeight="1" s="204"/>
    <row r="339" ht="12.75" customHeight="1" s="204"/>
    <row r="340" ht="12.75" customHeight="1" s="204"/>
    <row r="341" ht="12.75" customHeight="1" s="204"/>
    <row r="342" ht="12.75" customHeight="1" s="204"/>
    <row r="343" ht="12.75" customHeight="1" s="204"/>
    <row r="344" ht="12.75" customHeight="1" s="204"/>
    <row r="345" ht="12.75" customHeight="1" s="204"/>
    <row r="346" ht="12.75" customHeight="1" s="204"/>
    <row r="347" ht="12.75" customHeight="1" s="204"/>
    <row r="348" ht="12.75" customHeight="1" s="204"/>
    <row r="349" ht="12.75" customHeight="1" s="204"/>
    <row r="350" ht="12.75" customHeight="1" s="204"/>
    <row r="351" ht="12.75" customHeight="1" s="204"/>
    <row r="352" ht="12.75" customHeight="1" s="204"/>
    <row r="353" ht="12.75" customHeight="1" s="204"/>
    <row r="354" ht="12.75" customHeight="1" s="204"/>
    <row r="355" ht="12.75" customHeight="1" s="204"/>
    <row r="356" ht="12.75" customHeight="1" s="204"/>
    <row r="357" ht="12.75" customHeight="1" s="204"/>
    <row r="358" ht="12.75" customHeight="1" s="204"/>
    <row r="359" ht="12.75" customHeight="1" s="204"/>
    <row r="360" ht="12.75" customHeight="1" s="204"/>
    <row r="361" ht="12.75" customHeight="1" s="204"/>
    <row r="362" ht="12.75" customHeight="1" s="204"/>
    <row r="363" ht="12.75" customHeight="1" s="204"/>
    <row r="364" ht="12.75" customHeight="1" s="204"/>
    <row r="365" ht="12.75" customHeight="1" s="204"/>
    <row r="366" ht="12.75" customHeight="1" s="204"/>
    <row r="367" ht="12.75" customHeight="1" s="204"/>
    <row r="368" ht="12.75" customHeight="1" s="204"/>
    <row r="369" ht="12.75" customHeight="1" s="204"/>
    <row r="370" ht="12.75" customHeight="1" s="204"/>
    <row r="371" ht="12.75" customHeight="1" s="204"/>
    <row r="372" ht="12.75" customHeight="1" s="204"/>
    <row r="373" ht="12.75" customHeight="1" s="204"/>
    <row r="374" ht="12.75" customHeight="1" s="204"/>
    <row r="375" ht="12.75" customHeight="1" s="204"/>
    <row r="376" ht="12.75" customHeight="1" s="204"/>
    <row r="377" ht="12.75" customHeight="1" s="204"/>
    <row r="378" ht="12.75" customHeight="1" s="204"/>
    <row r="379" ht="12.75" customHeight="1" s="204"/>
    <row r="380" ht="12.75" customHeight="1" s="204"/>
    <row r="381" ht="12.75" customHeight="1" s="204"/>
    <row r="382" ht="12.75" customHeight="1" s="204"/>
    <row r="383" ht="12.75" customHeight="1" s="204"/>
    <row r="384" ht="12.75" customHeight="1" s="204"/>
    <row r="385" ht="12.75" customHeight="1" s="204"/>
    <row r="386" ht="12.75" customHeight="1" s="204"/>
    <row r="387" ht="12.75" customHeight="1" s="204"/>
    <row r="388" ht="12.75" customHeight="1" s="204"/>
    <row r="389" ht="12.75" customHeight="1" s="204"/>
    <row r="390" ht="12.75" customHeight="1" s="204"/>
    <row r="391" ht="12.75" customHeight="1" s="204"/>
    <row r="392" ht="12.75" customHeight="1" s="204"/>
    <row r="393" ht="12.75" customHeight="1" s="204"/>
    <row r="394" ht="12.75" customHeight="1" s="204"/>
    <row r="395" ht="12.75" customHeight="1" s="204"/>
    <row r="396" ht="12.75" customHeight="1" s="204"/>
    <row r="397" ht="12.75" customHeight="1" s="204"/>
    <row r="398" ht="12.75" customHeight="1" s="204"/>
    <row r="399" ht="12.75" customHeight="1" s="204"/>
    <row r="400" ht="12.75" customHeight="1" s="204"/>
    <row r="401" ht="12.75" customHeight="1" s="204"/>
    <row r="402" ht="12.75" customHeight="1" s="204"/>
    <row r="403" ht="12.75" customHeight="1" s="204"/>
    <row r="404" ht="12.75" customHeight="1" s="204"/>
    <row r="405" ht="12.75" customHeight="1" s="204"/>
    <row r="406" ht="12.75" customHeight="1" s="204"/>
    <row r="407" ht="12.75" customHeight="1" s="204"/>
    <row r="408" ht="12.75" customHeight="1" s="204"/>
    <row r="409" ht="12.75" customHeight="1" s="204"/>
    <row r="410" ht="12.75" customHeight="1" s="204"/>
    <row r="411" ht="12.75" customHeight="1" s="204"/>
    <row r="412" ht="12.75" customHeight="1" s="204"/>
    <row r="413" ht="12.75" customHeight="1" s="204"/>
    <row r="414" ht="12.75" customHeight="1" s="204"/>
    <row r="415" ht="12.75" customHeight="1" s="204"/>
    <row r="416" ht="12.75" customHeight="1" s="204"/>
    <row r="417" ht="12.75" customHeight="1" s="204"/>
    <row r="418" ht="12.75" customHeight="1" s="204"/>
    <row r="419" ht="12.75" customHeight="1" s="204"/>
    <row r="420" ht="12.75" customHeight="1" s="204"/>
    <row r="421" ht="12.75" customHeight="1" s="204"/>
    <row r="422" ht="12.75" customHeight="1" s="204"/>
    <row r="423" ht="12.75" customHeight="1" s="204"/>
    <row r="424" ht="12.75" customHeight="1" s="204"/>
    <row r="425" ht="12.75" customHeight="1" s="204"/>
    <row r="426" ht="12.75" customHeight="1" s="204"/>
    <row r="427" ht="12.75" customHeight="1" s="204"/>
    <row r="428" ht="12.75" customHeight="1" s="204"/>
    <row r="429" ht="12.75" customHeight="1" s="204"/>
    <row r="430" ht="12.75" customHeight="1" s="204"/>
    <row r="431" ht="12.75" customHeight="1" s="204"/>
    <row r="432" ht="12.75" customHeight="1" s="204"/>
    <row r="433" ht="12.75" customHeight="1" s="204"/>
    <row r="434" ht="12.75" customHeight="1" s="204"/>
    <row r="435" ht="12.75" customHeight="1" s="204"/>
    <row r="436" ht="12.75" customHeight="1" s="204"/>
    <row r="437" ht="12.75" customHeight="1" s="204"/>
    <row r="438" ht="12.75" customHeight="1" s="204"/>
    <row r="439" ht="12.75" customHeight="1" s="204"/>
    <row r="440" ht="12.75" customHeight="1" s="204"/>
    <row r="441" ht="12.75" customHeight="1" s="204"/>
    <row r="442" ht="12.75" customHeight="1" s="204"/>
    <row r="443" ht="12.75" customHeight="1" s="204"/>
    <row r="444" ht="12.75" customHeight="1" s="204"/>
    <row r="445" ht="12.75" customHeight="1" s="204"/>
    <row r="446" ht="12.75" customHeight="1" s="204"/>
    <row r="447" ht="12.75" customHeight="1" s="204"/>
    <row r="448" ht="12.75" customHeight="1" s="204"/>
    <row r="449" ht="12.75" customHeight="1" s="204"/>
    <row r="450" ht="12.75" customHeight="1" s="204"/>
    <row r="451" ht="12.75" customHeight="1" s="204"/>
    <row r="452" ht="12.75" customHeight="1" s="204"/>
    <row r="453" ht="12.75" customHeight="1" s="204"/>
    <row r="454" ht="12.75" customHeight="1" s="204"/>
    <row r="455" ht="12.75" customHeight="1" s="204"/>
    <row r="456" ht="12.75" customHeight="1" s="204"/>
    <row r="457" ht="12.75" customHeight="1" s="204"/>
    <row r="458" ht="12.75" customHeight="1" s="204"/>
    <row r="459" ht="12.75" customHeight="1" s="204"/>
    <row r="460" ht="12.75" customHeight="1" s="204"/>
    <row r="461" ht="12.75" customHeight="1" s="204"/>
    <row r="462" ht="12.75" customHeight="1" s="204"/>
    <row r="463" ht="12.75" customHeight="1" s="204"/>
    <row r="464" ht="12.75" customHeight="1" s="204"/>
    <row r="465" ht="12.75" customHeight="1" s="204"/>
    <row r="466" ht="12.75" customHeight="1" s="204"/>
    <row r="467" ht="12.75" customHeight="1" s="204"/>
    <row r="468" ht="12.75" customHeight="1" s="204"/>
    <row r="469" ht="12.75" customHeight="1" s="204"/>
    <row r="470" ht="12.75" customHeight="1" s="204"/>
    <row r="471" ht="12.75" customHeight="1" s="204"/>
    <row r="472" ht="12.75" customHeight="1" s="204"/>
    <row r="473" ht="12.75" customHeight="1" s="204"/>
    <row r="474" ht="12.75" customHeight="1" s="204"/>
    <row r="475" ht="12.75" customHeight="1" s="204"/>
    <row r="476" ht="12.75" customHeight="1" s="204"/>
    <row r="477" ht="12.75" customHeight="1" s="204"/>
    <row r="478" ht="12.75" customHeight="1" s="204"/>
    <row r="479" ht="12.75" customHeight="1" s="204"/>
    <row r="480" ht="12.75" customHeight="1" s="204"/>
    <row r="481" ht="12.75" customHeight="1" s="204"/>
    <row r="482" ht="12.75" customHeight="1" s="204"/>
    <row r="483" ht="12.75" customHeight="1" s="204"/>
    <row r="484" ht="12.75" customHeight="1" s="204"/>
    <row r="485" ht="12.75" customHeight="1" s="204"/>
    <row r="486" ht="12.75" customHeight="1" s="204"/>
    <row r="487" ht="12.75" customHeight="1" s="204"/>
    <row r="488" ht="12.75" customHeight="1" s="204"/>
    <row r="489" ht="12.75" customHeight="1" s="204"/>
    <row r="490" ht="12.75" customHeight="1" s="204"/>
    <row r="491" ht="12.75" customHeight="1" s="204"/>
    <row r="492" ht="12.75" customHeight="1" s="204"/>
    <row r="493" ht="12.75" customHeight="1" s="204"/>
    <row r="494" ht="12.75" customHeight="1" s="204"/>
    <row r="495" ht="12.75" customHeight="1" s="204"/>
    <row r="496" ht="12.75" customHeight="1" s="204"/>
    <row r="497" ht="12.75" customHeight="1" s="204"/>
    <row r="498" ht="12.75" customHeight="1" s="204"/>
    <row r="499" ht="12.75" customHeight="1" s="204"/>
    <row r="500" ht="12.75" customHeight="1" s="204"/>
    <row r="501" ht="12.75" customHeight="1" s="204"/>
    <row r="502" ht="12.75" customHeight="1" s="204"/>
    <row r="503" ht="12.75" customHeight="1" s="204"/>
    <row r="504" ht="12.75" customHeight="1" s="204"/>
    <row r="505" ht="12.75" customHeight="1" s="204"/>
    <row r="506" ht="12.75" customHeight="1" s="204"/>
    <row r="507" ht="12.75" customHeight="1" s="204"/>
    <row r="508" ht="12.75" customHeight="1" s="204"/>
    <row r="509" ht="12.75" customHeight="1" s="204"/>
    <row r="510" ht="12.75" customHeight="1" s="204"/>
    <row r="511" ht="12.75" customHeight="1" s="204"/>
    <row r="512" ht="12.75" customHeight="1" s="204"/>
    <row r="513" ht="12.75" customHeight="1" s="204"/>
    <row r="514" ht="12.75" customHeight="1" s="204"/>
    <row r="515" ht="12.75" customHeight="1" s="204"/>
    <row r="516" ht="12.75" customHeight="1" s="204"/>
    <row r="517" ht="12.75" customHeight="1" s="204"/>
    <row r="518" ht="12.75" customHeight="1" s="204"/>
    <row r="519" ht="12.75" customHeight="1" s="204"/>
    <row r="520" ht="12.75" customHeight="1" s="204"/>
    <row r="521" ht="12.75" customHeight="1" s="204"/>
    <row r="522" ht="12.75" customHeight="1" s="204"/>
    <row r="523" ht="12.75" customHeight="1" s="204"/>
    <row r="524" ht="12.75" customHeight="1" s="204"/>
    <row r="525" ht="12.75" customHeight="1" s="204"/>
    <row r="526" ht="12.75" customHeight="1" s="204"/>
    <row r="527" ht="12.75" customHeight="1" s="204"/>
    <row r="528" ht="12.75" customHeight="1" s="204"/>
    <row r="529" ht="12.75" customHeight="1" s="204"/>
    <row r="530" ht="12.75" customHeight="1" s="204"/>
    <row r="531" ht="12.75" customHeight="1" s="204"/>
    <row r="532" ht="12.75" customHeight="1" s="204"/>
    <row r="533" ht="12.75" customHeight="1" s="204"/>
    <row r="534" ht="12.75" customHeight="1" s="204"/>
    <row r="535" ht="12.75" customHeight="1" s="204"/>
    <row r="536" ht="12.75" customHeight="1" s="204"/>
    <row r="537" ht="12.75" customHeight="1" s="204"/>
    <row r="538" ht="12.75" customHeight="1" s="204"/>
    <row r="539" ht="12.75" customHeight="1" s="204"/>
    <row r="540" ht="12.75" customHeight="1" s="204"/>
    <row r="541" ht="12.75" customHeight="1" s="204"/>
    <row r="542" ht="12.75" customHeight="1" s="204"/>
    <row r="543" ht="12.75" customHeight="1" s="204"/>
    <row r="544" ht="12.75" customHeight="1" s="204"/>
    <row r="545" ht="12.75" customHeight="1" s="204"/>
    <row r="546" ht="12.75" customHeight="1" s="204"/>
    <row r="547" ht="12.75" customHeight="1" s="204"/>
    <row r="548" ht="12.75" customHeight="1" s="204"/>
    <row r="549" ht="12.75" customHeight="1" s="204"/>
    <row r="550" ht="12.75" customHeight="1" s="204"/>
    <row r="551" ht="12.75" customHeight="1" s="204"/>
    <row r="552" ht="12.75" customHeight="1" s="204"/>
    <row r="553" ht="12.75" customHeight="1" s="204"/>
    <row r="554" ht="12.75" customHeight="1" s="204"/>
    <row r="555" ht="12.75" customHeight="1" s="204"/>
    <row r="556" ht="12.75" customHeight="1" s="204"/>
    <row r="557" ht="12.75" customHeight="1" s="204"/>
    <row r="558" ht="12.75" customHeight="1" s="204"/>
    <row r="559" ht="12.75" customHeight="1" s="204"/>
    <row r="560" ht="12.75" customHeight="1" s="204"/>
    <row r="561" ht="12.75" customHeight="1" s="204"/>
    <row r="562" ht="12.75" customHeight="1" s="204"/>
    <row r="563" ht="12.75" customHeight="1" s="204"/>
    <row r="564" ht="12.75" customHeight="1" s="204"/>
    <row r="565" ht="12.75" customHeight="1" s="204"/>
    <row r="566" ht="12.75" customHeight="1" s="204"/>
    <row r="567" ht="12.75" customHeight="1" s="204"/>
    <row r="568" ht="12.75" customHeight="1" s="204"/>
    <row r="569" ht="12.75" customHeight="1" s="204"/>
    <row r="570" ht="12.75" customHeight="1" s="204"/>
    <row r="571" ht="12.75" customHeight="1" s="204"/>
    <row r="572" ht="12.75" customHeight="1" s="204"/>
    <row r="573" ht="12.75" customHeight="1" s="204"/>
    <row r="574" ht="12.75" customHeight="1" s="204"/>
    <row r="575" ht="12.75" customHeight="1" s="204"/>
    <row r="576" ht="12.75" customHeight="1" s="204"/>
    <row r="577" ht="12.75" customHeight="1" s="204"/>
    <row r="578" ht="12.75" customHeight="1" s="204"/>
    <row r="579" ht="12.75" customHeight="1" s="204"/>
    <row r="580" ht="12.75" customHeight="1" s="204"/>
    <row r="581" ht="12.75" customHeight="1" s="204"/>
    <row r="582" ht="12.75" customHeight="1" s="204"/>
    <row r="583" ht="12.75" customHeight="1" s="204"/>
    <row r="584" ht="12.75" customHeight="1" s="204"/>
    <row r="585" ht="12.75" customHeight="1" s="204"/>
    <row r="586" ht="12.75" customHeight="1" s="204"/>
    <row r="587" ht="12.75" customHeight="1" s="204"/>
    <row r="588" ht="12.75" customHeight="1" s="204"/>
    <row r="589" ht="12.75" customHeight="1" s="204"/>
    <row r="590" ht="12.75" customHeight="1" s="204"/>
    <row r="591" ht="12.75" customHeight="1" s="204"/>
    <row r="592" ht="12.75" customHeight="1" s="204"/>
    <row r="593" ht="12.75" customHeight="1" s="204"/>
    <row r="594" ht="12.75" customHeight="1" s="204"/>
    <row r="595" ht="12.75" customHeight="1" s="204"/>
    <row r="596" ht="12.75" customHeight="1" s="204"/>
    <row r="597" ht="12.75" customHeight="1" s="204"/>
    <row r="598" ht="12.75" customHeight="1" s="204"/>
    <row r="599" ht="12.75" customHeight="1" s="204"/>
    <row r="600" ht="12.75" customHeight="1" s="204"/>
    <row r="601" ht="12.75" customHeight="1" s="204"/>
    <row r="602" ht="12.75" customHeight="1" s="204"/>
    <row r="603" ht="12.75" customHeight="1" s="204"/>
    <row r="604" ht="12.75" customHeight="1" s="204"/>
    <row r="605" ht="12.75" customHeight="1" s="204"/>
    <row r="606" ht="12.75" customHeight="1" s="204"/>
    <row r="607" ht="12.75" customHeight="1" s="204"/>
    <row r="608" ht="12.75" customHeight="1" s="204"/>
    <row r="609" ht="12.75" customHeight="1" s="204"/>
    <row r="610" ht="12.75" customHeight="1" s="204"/>
    <row r="611" ht="12.75" customHeight="1" s="204"/>
    <row r="612" ht="12.75" customHeight="1" s="204"/>
    <row r="613" ht="12.75" customHeight="1" s="204"/>
    <row r="614" ht="12.75" customHeight="1" s="204"/>
    <row r="615" ht="12.75" customHeight="1" s="204"/>
    <row r="616" ht="12.75" customHeight="1" s="204"/>
    <row r="617" ht="12.75" customHeight="1" s="204"/>
    <row r="618" ht="12.75" customHeight="1" s="204"/>
    <row r="619" ht="12.75" customHeight="1" s="204"/>
    <row r="620" ht="12.75" customHeight="1" s="204"/>
    <row r="621" ht="12.75" customHeight="1" s="204"/>
    <row r="622" ht="12.75" customHeight="1" s="204"/>
    <row r="623" ht="12.75" customHeight="1" s="204"/>
    <row r="624" ht="12.75" customHeight="1" s="204"/>
    <row r="625" ht="12.75" customHeight="1" s="204"/>
    <row r="626" ht="12.75" customHeight="1" s="204"/>
    <row r="627" ht="12.75" customHeight="1" s="204"/>
    <row r="628" ht="12.75" customHeight="1" s="204"/>
    <row r="629" ht="12.75" customHeight="1" s="204"/>
    <row r="630" ht="12.75" customHeight="1" s="204"/>
    <row r="631" ht="12.75" customHeight="1" s="204"/>
    <row r="632" ht="12.75" customHeight="1" s="204"/>
    <row r="633" ht="12.75" customHeight="1" s="204"/>
    <row r="634" ht="12.75" customHeight="1" s="204"/>
    <row r="635" ht="12.75" customHeight="1" s="204"/>
    <row r="636" ht="12.75" customHeight="1" s="204"/>
    <row r="637" ht="12.75" customHeight="1" s="204"/>
    <row r="638" ht="12.75" customHeight="1" s="204"/>
    <row r="639" ht="12.75" customHeight="1" s="204"/>
    <row r="640" ht="12.75" customHeight="1" s="204"/>
    <row r="641" ht="12.75" customHeight="1" s="204"/>
    <row r="642" ht="12.75" customHeight="1" s="204"/>
    <row r="643" ht="12.75" customHeight="1" s="204"/>
    <row r="644" ht="12.75" customHeight="1" s="204"/>
    <row r="645" ht="12.75" customHeight="1" s="204"/>
    <row r="646" ht="12.75" customHeight="1" s="204"/>
    <row r="647" ht="12.75" customHeight="1" s="204"/>
    <row r="648" ht="12.75" customHeight="1" s="204"/>
    <row r="649" ht="12.75" customHeight="1" s="204"/>
    <row r="650" ht="12.75" customHeight="1" s="204"/>
    <row r="651" ht="12.75" customHeight="1" s="204"/>
    <row r="652" ht="12.75" customHeight="1" s="204"/>
    <row r="653" ht="12.75" customHeight="1" s="204"/>
    <row r="654" ht="12.75" customHeight="1" s="204"/>
    <row r="655" ht="12.75" customHeight="1" s="204"/>
    <row r="656" ht="12.75" customHeight="1" s="204"/>
    <row r="657" ht="12.75" customHeight="1" s="204"/>
    <row r="658" ht="12.75" customHeight="1" s="204"/>
    <row r="659" ht="12.75" customHeight="1" s="204"/>
    <row r="660" ht="12.75" customHeight="1" s="204"/>
    <row r="661" ht="12.75" customHeight="1" s="204"/>
    <row r="662" ht="12.75" customHeight="1" s="204"/>
    <row r="663" ht="12.75" customHeight="1" s="204"/>
    <row r="664" ht="12.75" customHeight="1" s="204"/>
    <row r="665" ht="12.75" customHeight="1" s="204"/>
    <row r="666" ht="12.75" customHeight="1" s="204"/>
    <row r="667" ht="12.75" customHeight="1" s="204"/>
    <row r="668" ht="12.75" customHeight="1" s="204"/>
    <row r="669" ht="12.75" customHeight="1" s="204"/>
    <row r="670" ht="12.75" customHeight="1" s="204"/>
    <row r="671" ht="12.75" customHeight="1" s="204"/>
    <row r="672" ht="12.75" customHeight="1" s="204"/>
    <row r="673" ht="12.75" customHeight="1" s="204"/>
    <row r="674" ht="12.75" customHeight="1" s="204"/>
    <row r="675" ht="12.75" customHeight="1" s="204"/>
    <row r="676" ht="12.75" customHeight="1" s="204"/>
    <row r="677" ht="12.75" customHeight="1" s="204"/>
    <row r="678" ht="12.75" customHeight="1" s="204"/>
    <row r="679" ht="12.75" customHeight="1" s="204"/>
    <row r="680" ht="12.75" customHeight="1" s="204"/>
    <row r="681" ht="12.75" customHeight="1" s="204"/>
    <row r="682" ht="12.75" customHeight="1" s="204"/>
    <row r="683" ht="12.75" customHeight="1" s="204"/>
    <row r="684" ht="12.75" customHeight="1" s="204"/>
    <row r="685" ht="12.75" customHeight="1" s="204"/>
    <row r="686" ht="12.75" customHeight="1" s="204"/>
    <row r="687" ht="12.75" customHeight="1" s="204"/>
    <row r="688" ht="12.75" customHeight="1" s="204"/>
    <row r="689" ht="12.75" customHeight="1" s="204"/>
    <row r="690" ht="12.75" customHeight="1" s="204"/>
    <row r="691" ht="12.75" customHeight="1" s="204"/>
    <row r="692" ht="12.75" customHeight="1" s="204"/>
    <row r="693" ht="12.75" customHeight="1" s="204"/>
    <row r="694" ht="12.75" customHeight="1" s="204"/>
    <row r="695" ht="12.75" customHeight="1" s="204"/>
    <row r="696" ht="12.75" customHeight="1" s="204"/>
    <row r="697" ht="12.75" customHeight="1" s="204"/>
    <row r="698" ht="12.75" customHeight="1" s="204"/>
    <row r="699" ht="12.75" customHeight="1" s="204"/>
    <row r="700" ht="12.75" customHeight="1" s="204"/>
    <row r="701" ht="12.75" customHeight="1" s="204"/>
    <row r="702" ht="12.75" customHeight="1" s="204"/>
    <row r="703" ht="12.75" customHeight="1" s="204"/>
    <row r="704" ht="12.75" customHeight="1" s="204"/>
    <row r="705" ht="12.75" customHeight="1" s="204"/>
    <row r="706" ht="12.75" customHeight="1" s="204"/>
    <row r="707" ht="12.75" customHeight="1" s="204"/>
    <row r="708" ht="12.75" customHeight="1" s="204"/>
    <row r="709" ht="12.75" customHeight="1" s="204"/>
    <row r="710" ht="12.75" customHeight="1" s="204"/>
    <row r="711" ht="12.75" customHeight="1" s="204"/>
    <row r="712" ht="12.75" customHeight="1" s="204"/>
    <row r="713" ht="12.75" customHeight="1" s="204"/>
    <row r="714" ht="12.75" customHeight="1" s="204"/>
    <row r="715" ht="12.75" customHeight="1" s="204"/>
    <row r="716" ht="12.75" customHeight="1" s="204"/>
    <row r="717" ht="12.75" customHeight="1" s="204"/>
    <row r="718" ht="12.75" customHeight="1" s="204"/>
    <row r="719" ht="12.75" customHeight="1" s="204"/>
    <row r="720" ht="12.75" customHeight="1" s="204"/>
    <row r="721" ht="12.75" customHeight="1" s="204"/>
    <row r="722" ht="12.75" customHeight="1" s="204"/>
    <row r="723" ht="12.75" customHeight="1" s="204"/>
    <row r="724" ht="12.75" customHeight="1" s="204"/>
    <row r="725" ht="12.75" customHeight="1" s="204"/>
    <row r="726" ht="12.75" customHeight="1" s="204"/>
    <row r="727" ht="12.75" customHeight="1" s="204"/>
    <row r="728" ht="12.75" customHeight="1" s="204"/>
    <row r="729" ht="12.75" customHeight="1" s="204"/>
    <row r="730" ht="12.75" customHeight="1" s="204"/>
    <row r="731" ht="12.75" customHeight="1" s="204"/>
    <row r="732" ht="12.75" customHeight="1" s="204"/>
    <row r="733" ht="12.75" customHeight="1" s="204"/>
    <row r="734" ht="12.75" customHeight="1" s="204"/>
    <row r="735" ht="12.75" customHeight="1" s="204"/>
    <row r="736" ht="12.75" customHeight="1" s="204"/>
    <row r="737" ht="12.75" customHeight="1" s="204"/>
    <row r="738" ht="12.75" customHeight="1" s="204"/>
    <row r="739" ht="12.75" customHeight="1" s="204"/>
    <row r="740" ht="12.75" customHeight="1" s="204"/>
    <row r="741" ht="12.75" customHeight="1" s="204"/>
    <row r="742" ht="12.75" customHeight="1" s="204"/>
    <row r="743" ht="12.75" customHeight="1" s="204"/>
    <row r="744" ht="12.75" customHeight="1" s="204"/>
    <row r="745" ht="12.75" customHeight="1" s="204"/>
    <row r="746" ht="12.75" customHeight="1" s="204"/>
    <row r="747" ht="12.75" customHeight="1" s="204"/>
    <row r="748" ht="12.75" customHeight="1" s="204"/>
    <row r="749" ht="12.75" customHeight="1" s="204"/>
    <row r="750" ht="12.75" customHeight="1" s="204"/>
    <row r="751" ht="12.75" customHeight="1" s="204"/>
    <row r="752" ht="12.75" customHeight="1" s="204"/>
    <row r="753" ht="12.75" customHeight="1" s="204"/>
    <row r="754" ht="12.75" customHeight="1" s="204"/>
    <row r="755" ht="12.75" customHeight="1" s="204"/>
    <row r="756" ht="12.75" customHeight="1" s="204"/>
    <row r="757" ht="12.75" customHeight="1" s="204"/>
    <row r="758" ht="12.75" customHeight="1" s="204"/>
    <row r="759" ht="12.75" customHeight="1" s="204"/>
    <row r="760" ht="12.75" customHeight="1" s="204"/>
    <row r="761" ht="12.75" customHeight="1" s="204"/>
    <row r="762" ht="12.75" customHeight="1" s="204"/>
    <row r="763" ht="12.75" customHeight="1" s="204"/>
    <row r="764" ht="12.75" customHeight="1" s="204"/>
    <row r="765" ht="12.75" customHeight="1" s="204"/>
    <row r="766" ht="12.75" customHeight="1" s="204"/>
    <row r="767" ht="12.75" customHeight="1" s="204"/>
    <row r="768" ht="12.75" customHeight="1" s="204"/>
    <row r="769" ht="12.75" customHeight="1" s="204"/>
    <row r="770" ht="12.75" customHeight="1" s="204"/>
    <row r="771" ht="12.75" customHeight="1" s="204"/>
    <row r="772" ht="12.75" customHeight="1" s="204"/>
    <row r="773" ht="12.75" customHeight="1" s="204"/>
    <row r="774" ht="12.75" customHeight="1" s="204"/>
    <row r="775" ht="12.75" customHeight="1" s="204"/>
    <row r="776" ht="12.75" customHeight="1" s="204"/>
    <row r="777" ht="12.75" customHeight="1" s="204"/>
    <row r="778" ht="12.75" customHeight="1" s="204"/>
    <row r="779" ht="12.75" customHeight="1" s="204"/>
    <row r="780" ht="12.75" customHeight="1" s="204"/>
    <row r="781" ht="12.75" customHeight="1" s="204"/>
    <row r="782" ht="12.75" customHeight="1" s="204"/>
    <row r="783" ht="12.75" customHeight="1" s="204"/>
    <row r="784" ht="12.75" customHeight="1" s="204"/>
    <row r="785" ht="12.75" customHeight="1" s="204"/>
    <row r="786" ht="12.75" customHeight="1" s="204"/>
    <row r="787" ht="12.75" customHeight="1" s="204"/>
    <row r="788" ht="12.75" customHeight="1" s="204"/>
    <row r="789" ht="12.75" customHeight="1" s="204"/>
    <row r="790" ht="12.75" customHeight="1" s="204"/>
    <row r="791" ht="12.75" customHeight="1" s="204"/>
    <row r="792" ht="12.75" customHeight="1" s="204"/>
    <row r="793" ht="12.75" customHeight="1" s="204"/>
    <row r="794" ht="12.75" customHeight="1" s="204"/>
    <row r="795" ht="12.75" customHeight="1" s="204"/>
    <row r="796" ht="12.75" customHeight="1" s="204"/>
    <row r="797" ht="12.75" customHeight="1" s="204"/>
    <row r="798" ht="12.75" customHeight="1" s="204"/>
    <row r="799" ht="12.75" customHeight="1" s="204"/>
    <row r="800" ht="12.75" customHeight="1" s="204"/>
    <row r="801" ht="12.75" customHeight="1" s="204"/>
    <row r="802" ht="12.75" customHeight="1" s="204"/>
    <row r="803" ht="12.75" customHeight="1" s="204"/>
    <row r="804" ht="12.75" customHeight="1" s="204"/>
    <row r="805" ht="12.75" customHeight="1" s="204"/>
    <row r="806" ht="12.75" customHeight="1" s="204"/>
    <row r="807" ht="12.75" customHeight="1" s="204"/>
    <row r="808" ht="12.75" customHeight="1" s="204"/>
    <row r="809" ht="12.75" customHeight="1" s="204"/>
    <row r="810" ht="12.75" customHeight="1" s="204"/>
    <row r="811" ht="12.75" customHeight="1" s="204"/>
    <row r="812" ht="12.75" customHeight="1" s="204"/>
    <row r="813" ht="12.75" customHeight="1" s="204"/>
    <row r="814" ht="12.75" customHeight="1" s="204"/>
    <row r="815" ht="12.75" customHeight="1" s="204"/>
    <row r="816" ht="12.75" customHeight="1" s="204"/>
    <row r="817" ht="12.75" customHeight="1" s="204"/>
    <row r="818" ht="12.75" customHeight="1" s="204"/>
    <row r="819" ht="12.75" customHeight="1" s="204"/>
    <row r="820" ht="12.75" customHeight="1" s="204"/>
    <row r="821" ht="12.75" customHeight="1" s="204"/>
    <row r="822" ht="12.75" customHeight="1" s="204"/>
    <row r="823" ht="12.75" customHeight="1" s="204"/>
    <row r="824" ht="12.75" customHeight="1" s="204"/>
    <row r="825" ht="12.75" customHeight="1" s="204"/>
    <row r="826" ht="12.75" customHeight="1" s="204"/>
    <row r="827" ht="12.75" customHeight="1" s="204"/>
    <row r="828" ht="12.75" customHeight="1" s="204"/>
    <row r="829" ht="12.75" customHeight="1" s="204"/>
    <row r="830" ht="12.75" customHeight="1" s="204"/>
    <row r="831" ht="12.75" customHeight="1" s="204"/>
    <row r="832" ht="12.75" customHeight="1" s="204"/>
    <row r="833" ht="12.75" customHeight="1" s="204"/>
    <row r="834" ht="12.75" customHeight="1" s="204"/>
    <row r="835" ht="12.75" customHeight="1" s="204"/>
    <row r="836" ht="12.75" customHeight="1" s="204"/>
    <row r="837" ht="12.75" customHeight="1" s="204"/>
    <row r="838" ht="12.75" customHeight="1" s="204"/>
    <row r="839" ht="12.75" customHeight="1" s="204"/>
    <row r="840" ht="12.75" customHeight="1" s="204"/>
    <row r="841" ht="12.75" customHeight="1" s="204"/>
    <row r="842" ht="12.75" customHeight="1" s="204"/>
    <row r="843" ht="12.75" customHeight="1" s="204"/>
    <row r="844" ht="12.75" customHeight="1" s="204"/>
    <row r="845" ht="12.75" customHeight="1" s="204"/>
    <row r="846" ht="12.75" customHeight="1" s="204"/>
    <row r="847" ht="12.75" customHeight="1" s="204"/>
    <row r="848" ht="12.75" customHeight="1" s="204"/>
    <row r="849" ht="12.75" customHeight="1" s="204"/>
    <row r="850" ht="12.75" customHeight="1" s="204"/>
    <row r="851" ht="12.75" customHeight="1" s="204"/>
    <row r="852" ht="12.75" customHeight="1" s="204"/>
    <row r="853" ht="12.75" customHeight="1" s="204"/>
    <row r="854" ht="12.75" customHeight="1" s="204"/>
    <row r="855" ht="12.75" customHeight="1" s="204"/>
    <row r="856" ht="12.75" customHeight="1" s="204"/>
    <row r="857" ht="12.75" customHeight="1" s="204"/>
    <row r="858" ht="12.75" customHeight="1" s="204"/>
    <row r="859" ht="12.75" customHeight="1" s="204"/>
    <row r="860" ht="12.75" customHeight="1" s="204"/>
    <row r="861" ht="12.75" customHeight="1" s="204"/>
    <row r="862" ht="12.75" customHeight="1" s="204"/>
    <row r="863" ht="12.75" customHeight="1" s="204"/>
    <row r="864" ht="12.75" customHeight="1" s="204"/>
    <row r="865" ht="12.75" customHeight="1" s="204"/>
    <row r="866" ht="12.75" customHeight="1" s="204"/>
    <row r="867" ht="12.75" customHeight="1" s="204"/>
    <row r="868" ht="12.75" customHeight="1" s="204"/>
    <row r="869" ht="12.75" customHeight="1" s="204"/>
    <row r="870" ht="12.75" customHeight="1" s="204"/>
    <row r="871" ht="12.75" customHeight="1" s="204"/>
    <row r="872" ht="12.75" customHeight="1" s="204"/>
    <row r="873" ht="12.75" customHeight="1" s="204"/>
    <row r="874" ht="12.75" customHeight="1" s="204"/>
    <row r="875" ht="12.75" customHeight="1" s="204"/>
    <row r="876" ht="12.75" customHeight="1" s="204"/>
    <row r="877" ht="12.75" customHeight="1" s="204"/>
    <row r="878" ht="12.75" customHeight="1" s="204"/>
    <row r="879" ht="12.75" customHeight="1" s="204"/>
    <row r="880" ht="12.75" customHeight="1" s="204"/>
    <row r="881" ht="12.75" customHeight="1" s="204"/>
    <row r="882" ht="12.75" customHeight="1" s="204"/>
    <row r="883" ht="12.75" customHeight="1" s="204"/>
    <row r="884" ht="12.75" customHeight="1" s="204"/>
    <row r="885" ht="12.75" customHeight="1" s="204"/>
    <row r="886" ht="12.75" customHeight="1" s="204"/>
    <row r="887" ht="12.75" customHeight="1" s="204"/>
    <row r="888" ht="12.75" customHeight="1" s="204"/>
    <row r="889" ht="12.75" customHeight="1" s="204"/>
    <row r="890" ht="12.75" customHeight="1" s="204"/>
    <row r="891" ht="12.75" customHeight="1" s="204"/>
    <row r="892" ht="12.75" customHeight="1" s="204"/>
    <row r="893" ht="12.75" customHeight="1" s="204"/>
    <row r="894" ht="12.75" customHeight="1" s="204"/>
    <row r="895" ht="12.75" customHeight="1" s="204"/>
    <row r="896" ht="12.75" customHeight="1" s="204"/>
    <row r="897" ht="12.75" customHeight="1" s="204"/>
    <row r="898" ht="12.75" customHeight="1" s="204"/>
    <row r="899" ht="12.75" customHeight="1" s="204"/>
    <row r="900" ht="12.75" customHeight="1" s="204"/>
    <row r="901" ht="12.75" customHeight="1" s="204"/>
    <row r="902" ht="12.75" customHeight="1" s="204"/>
    <row r="903" ht="12.75" customHeight="1" s="204"/>
    <row r="904" ht="12.75" customHeight="1" s="204"/>
    <row r="905" ht="12.75" customHeight="1" s="204"/>
    <row r="906" ht="12.75" customHeight="1" s="204"/>
    <row r="907" ht="12.75" customHeight="1" s="204"/>
    <row r="908" ht="12.75" customHeight="1" s="204"/>
    <row r="909" ht="12.75" customHeight="1" s="204"/>
    <row r="910" ht="12.75" customHeight="1" s="204"/>
    <row r="911" ht="12.75" customHeight="1" s="204"/>
    <row r="912" ht="12.75" customHeight="1" s="204"/>
    <row r="913" ht="12.75" customHeight="1" s="204"/>
    <row r="914" ht="12.75" customHeight="1" s="204"/>
    <row r="915" ht="12.75" customHeight="1" s="204"/>
    <row r="916" ht="12.75" customHeight="1" s="204"/>
    <row r="917" ht="12.75" customHeight="1" s="204"/>
    <row r="918" ht="12.75" customHeight="1" s="204"/>
    <row r="919" ht="12.75" customHeight="1" s="204"/>
    <row r="920" ht="12.75" customHeight="1" s="204"/>
    <row r="921" ht="12.75" customHeight="1" s="204"/>
    <row r="922" ht="12.75" customHeight="1" s="204"/>
    <row r="923" ht="12.75" customHeight="1" s="204"/>
    <row r="924" ht="12.75" customHeight="1" s="204"/>
    <row r="925" ht="12.75" customHeight="1" s="204"/>
    <row r="926" ht="12.75" customHeight="1" s="204"/>
    <row r="927" ht="12.75" customHeight="1" s="204"/>
    <row r="928" ht="12.75" customHeight="1" s="204"/>
    <row r="929" ht="12.75" customHeight="1" s="204"/>
    <row r="930" ht="12.75" customHeight="1" s="204"/>
    <row r="931" ht="12.75" customHeight="1" s="204"/>
    <row r="932" ht="12.75" customHeight="1" s="204"/>
    <row r="933" ht="12.75" customHeight="1" s="204"/>
    <row r="934" ht="12.75" customHeight="1" s="204"/>
    <row r="935" ht="12.75" customHeight="1" s="204"/>
    <row r="936" ht="12.75" customHeight="1" s="204"/>
    <row r="937" ht="12.75" customHeight="1" s="204"/>
    <row r="938" ht="12.75" customHeight="1" s="204"/>
    <row r="939" ht="12.75" customHeight="1" s="204"/>
    <row r="940" ht="12.75" customHeight="1" s="204"/>
    <row r="941" ht="12.75" customHeight="1" s="204"/>
    <row r="942" ht="12.75" customHeight="1" s="204"/>
    <row r="943" ht="12.75" customHeight="1" s="204"/>
    <row r="944" ht="12.75" customHeight="1" s="204"/>
    <row r="945" ht="12.75" customHeight="1" s="204"/>
    <row r="946" ht="12.75" customHeight="1" s="204"/>
    <row r="947" ht="12.75" customHeight="1" s="204"/>
    <row r="948" ht="12.75" customHeight="1" s="204"/>
    <row r="949" ht="12.75" customHeight="1" s="204"/>
    <row r="950" ht="12.75" customHeight="1" s="204"/>
    <row r="951" ht="12.75" customHeight="1" s="204"/>
    <row r="952" ht="12.75" customHeight="1" s="204"/>
    <row r="953" ht="12.75" customHeight="1" s="204"/>
    <row r="954" ht="12.75" customHeight="1" s="204"/>
    <row r="955" ht="12.75" customHeight="1" s="204"/>
    <row r="956" ht="12.75" customHeight="1" s="204"/>
    <row r="957" ht="12.75" customHeight="1" s="204"/>
    <row r="958" ht="12.75" customHeight="1" s="204"/>
    <row r="959" ht="12.75" customHeight="1" s="204"/>
    <row r="960" ht="12.75" customHeight="1" s="204"/>
    <row r="961" ht="12.75" customHeight="1" s="204"/>
    <row r="962" ht="12.75" customHeight="1" s="204"/>
    <row r="963" ht="12.75" customHeight="1" s="204"/>
    <row r="964" ht="12.75" customHeight="1" s="204"/>
    <row r="965" ht="12.75" customHeight="1" s="204"/>
    <row r="966" ht="12.75" customHeight="1" s="204"/>
    <row r="967" ht="12.75" customHeight="1" s="204"/>
    <row r="968" ht="12.75" customHeight="1" s="204"/>
    <row r="969" ht="12.75" customHeight="1" s="204"/>
    <row r="970" ht="12.75" customHeight="1" s="204"/>
    <row r="971" ht="12.75" customHeight="1" s="204"/>
    <row r="972" ht="12.75" customHeight="1" s="204"/>
    <row r="973" ht="12.75" customHeight="1" s="204"/>
    <row r="974" ht="12.75" customHeight="1" s="204"/>
    <row r="975" ht="12.75" customHeight="1" s="204"/>
    <row r="976" ht="12.75" customHeight="1" s="204"/>
    <row r="977" ht="12.75" customHeight="1" s="204"/>
    <row r="978" ht="12.75" customHeight="1" s="204"/>
    <row r="979" ht="12.75" customHeight="1" s="204"/>
    <row r="980" ht="12.75" customHeight="1" s="204"/>
    <row r="981" ht="12.75" customHeight="1" s="204"/>
    <row r="982" ht="12.75" customHeight="1" s="204"/>
    <row r="983" ht="12.75" customHeight="1" s="204"/>
    <row r="984" ht="12.75" customHeight="1" s="204"/>
    <row r="985" ht="12.75" customHeight="1" s="204"/>
    <row r="986" ht="12.75" customHeight="1" s="204"/>
    <row r="987" ht="12.75" customHeight="1" s="204"/>
    <row r="988" ht="12.75" customHeight="1" s="204"/>
    <row r="989" ht="12.75" customHeight="1" s="204"/>
    <row r="990" ht="12.75" customHeight="1" s="204"/>
    <row r="991" ht="12.75" customHeight="1" s="204"/>
    <row r="992" ht="12.75" customHeight="1" s="204"/>
    <row r="993" ht="12.75" customHeight="1" s="204"/>
    <row r="994" ht="12.75" customHeight="1" s="204"/>
    <row r="995" ht="12.75" customHeight="1" s="204"/>
    <row r="996" ht="12.75" customHeight="1" s="204"/>
    <row r="997" ht="12.75" customHeight="1" s="204"/>
    <row r="998" ht="12.75" customHeight="1" s="204"/>
    <row r="999" ht="12.75" customHeight="1" s="204"/>
  </sheetData>
  <mergeCells count="381">
    <mergeCell ref="A15:B15"/>
    <mergeCell ref="C15:D15"/>
    <mergeCell ref="A51:B51"/>
    <mergeCell ref="AQ11:AU11"/>
    <mergeCell ref="AM38:AN38"/>
    <mergeCell ref="AM62:AN62"/>
    <mergeCell ref="AM13:AN13"/>
    <mergeCell ref="AM56:AN56"/>
    <mergeCell ref="AO13:AP13"/>
    <mergeCell ref="AM43:AN43"/>
    <mergeCell ref="AM40:AN40"/>
    <mergeCell ref="AQ12:AU12"/>
    <mergeCell ref="AT67:AU70"/>
    <mergeCell ref="AO15:AP15"/>
    <mergeCell ref="AM75:AQ76"/>
    <mergeCell ref="AM57:AN57"/>
    <mergeCell ref="AM73:AQ73"/>
    <mergeCell ref="A33:B33"/>
    <mergeCell ref="AO10:AP10"/>
    <mergeCell ref="A35:B35"/>
    <mergeCell ref="A62:B62"/>
    <mergeCell ref="AM25:AN25"/>
    <mergeCell ref="AO25:AP25"/>
    <mergeCell ref="AM74:AQ74"/>
    <mergeCell ref="AA4:AG4"/>
    <mergeCell ref="A28:B28"/>
    <mergeCell ref="C28:D28"/>
    <mergeCell ref="AM33:AN33"/>
    <mergeCell ref="A39:B39"/>
    <mergeCell ref="AS83:AS84"/>
    <mergeCell ref="A30:B30"/>
    <mergeCell ref="C30:D30"/>
    <mergeCell ref="A59:B59"/>
    <mergeCell ref="AQ25:AU25"/>
    <mergeCell ref="AM28:AN28"/>
    <mergeCell ref="Z87:AK88"/>
    <mergeCell ref="AO28:AP28"/>
    <mergeCell ref="A61:B61"/>
    <mergeCell ref="AM59:AN59"/>
    <mergeCell ref="G72:S72"/>
    <mergeCell ref="AM79:AQ80"/>
    <mergeCell ref="G70:S70"/>
    <mergeCell ref="AM30:AN30"/>
    <mergeCell ref="AQ14:AU14"/>
    <mergeCell ref="AM54:AN54"/>
    <mergeCell ref="AO54:AP54"/>
    <mergeCell ref="AM81:AQ82"/>
    <mergeCell ref="AQ13:AU13"/>
    <mergeCell ref="A52:B52"/>
    <mergeCell ref="AO56:AP56"/>
    <mergeCell ref="AQ15:AU15"/>
    <mergeCell ref="C18:D18"/>
    <mergeCell ref="A34:B34"/>
    <mergeCell ref="C34:D34"/>
    <mergeCell ref="AO60:AP60"/>
    <mergeCell ref="AM86:AU87"/>
    <mergeCell ref="A49:B49"/>
    <mergeCell ref="A36:B36"/>
    <mergeCell ref="AT73:AU74"/>
    <mergeCell ref="C29:D29"/>
    <mergeCell ref="AM34:AN34"/>
    <mergeCell ref="AW17:AX23"/>
    <mergeCell ref="AQ27:AT27"/>
    <mergeCell ref="AR65:AR66"/>
    <mergeCell ref="C44:D44"/>
    <mergeCell ref="AM49:AN49"/>
    <mergeCell ref="C31:D31"/>
    <mergeCell ref="AQ33:AU33"/>
    <mergeCell ref="AR83:AR84"/>
    <mergeCell ref="A55:B55"/>
    <mergeCell ref="AO30:AP30"/>
    <mergeCell ref="AO42:AP42"/>
    <mergeCell ref="AO29:AP29"/>
    <mergeCell ref="Z90:AK90"/>
    <mergeCell ref="AQ10:AU10"/>
    <mergeCell ref="AO44:AP44"/>
    <mergeCell ref="AQ28:AU28"/>
    <mergeCell ref="AO31:AP31"/>
    <mergeCell ref="AS79:AS80"/>
    <mergeCell ref="AM27:AN27"/>
    <mergeCell ref="C49:D49"/>
    <mergeCell ref="A24:B24"/>
    <mergeCell ref="C24:D24"/>
    <mergeCell ref="A60:B60"/>
    <mergeCell ref="C42:D42"/>
    <mergeCell ref="G73:S73"/>
    <mergeCell ref="AM72:AQ72"/>
    <mergeCell ref="F5:AL5"/>
    <mergeCell ref="C26:D26"/>
    <mergeCell ref="AT79:AU80"/>
    <mergeCell ref="AQ21:AU21"/>
    <mergeCell ref="C55:D55"/>
    <mergeCell ref="AW10:AX15"/>
    <mergeCell ref="AM9:AN9"/>
    <mergeCell ref="AT81:AU82"/>
    <mergeCell ref="A50:B50"/>
    <mergeCell ref="AM11:AN11"/>
    <mergeCell ref="C52:D52"/>
    <mergeCell ref="C39:D39"/>
    <mergeCell ref="AN94:AT94"/>
    <mergeCell ref="AQ35:AU35"/>
    <mergeCell ref="AM50:AN50"/>
    <mergeCell ref="AO50:AP50"/>
    <mergeCell ref="AM15:AN15"/>
    <mergeCell ref="A3:D3"/>
    <mergeCell ref="AQ34:AU34"/>
    <mergeCell ref="C37:D37"/>
    <mergeCell ref="AO52:AP52"/>
    <mergeCell ref="AQ36:AU36"/>
    <mergeCell ref="Z82:AK85"/>
    <mergeCell ref="AO32:AP32"/>
    <mergeCell ref="T68:V70"/>
    <mergeCell ref="AQ59:AT59"/>
    <mergeCell ref="AO47:AP47"/>
    <mergeCell ref="C50:D50"/>
    <mergeCell ref="C27:D27"/>
    <mergeCell ref="AR79:AR80"/>
    <mergeCell ref="AQ5:AU7"/>
    <mergeCell ref="AQ56:AT56"/>
    <mergeCell ref="AR81:AR82"/>
    <mergeCell ref="Z86:AK86"/>
    <mergeCell ref="A2:AU2"/>
    <mergeCell ref="AT64:AU64"/>
    <mergeCell ref="B68:F70"/>
    <mergeCell ref="AQ24:AU24"/>
    <mergeCell ref="A45:B45"/>
    <mergeCell ref="C45:D45"/>
    <mergeCell ref="AM14:AN14"/>
    <mergeCell ref="AQ49:AT49"/>
    <mergeCell ref="C47:D47"/>
    <mergeCell ref="AQ30:AT30"/>
    <mergeCell ref="C61:E61"/>
    <mergeCell ref="A46:B46"/>
    <mergeCell ref="AO53:AP53"/>
    <mergeCell ref="C40:D40"/>
    <mergeCell ref="Z66:AK67"/>
    <mergeCell ref="A26:B26"/>
    <mergeCell ref="AQ52:AU52"/>
    <mergeCell ref="AQ39:AU39"/>
    <mergeCell ref="AO38:AP38"/>
    <mergeCell ref="Z68:AK69"/>
    <mergeCell ref="A8:B8"/>
    <mergeCell ref="C8:D8"/>
    <mergeCell ref="AR63:AU63"/>
    <mergeCell ref="AM7:AN7"/>
    <mergeCell ref="A10:B10"/>
    <mergeCell ref="AM36:AN36"/>
    <mergeCell ref="C53:D53"/>
    <mergeCell ref="AM8:AN8"/>
    <mergeCell ref="AO8:AP8"/>
    <mergeCell ref="AW3:AX3"/>
    <mergeCell ref="AM4:AU4"/>
    <mergeCell ref="C59:D59"/>
    <mergeCell ref="A21:B21"/>
    <mergeCell ref="C46:D46"/>
    <mergeCell ref="C21:D21"/>
    <mergeCell ref="A57:B57"/>
    <mergeCell ref="A32:B32"/>
    <mergeCell ref="AQ50:AT50"/>
    <mergeCell ref="A23:B23"/>
    <mergeCell ref="C48:D48"/>
    <mergeCell ref="C23:D23"/>
    <mergeCell ref="C62:E62"/>
    <mergeCell ref="AM21:AN21"/>
    <mergeCell ref="AS65:AS66"/>
    <mergeCell ref="AO21:AP21"/>
    <mergeCell ref="AM32:AN32"/>
    <mergeCell ref="AT78:AU78"/>
    <mergeCell ref="AS73:AS74"/>
    <mergeCell ref="AO16:AP16"/>
    <mergeCell ref="A16:B16"/>
    <mergeCell ref="C16:D16"/>
    <mergeCell ref="A1:AU1"/>
    <mergeCell ref="C9:D9"/>
    <mergeCell ref="A18:B18"/>
    <mergeCell ref="AM52:AN52"/>
    <mergeCell ref="AM39:AN39"/>
    <mergeCell ref="AO39:AP39"/>
    <mergeCell ref="AQ8:AU8"/>
    <mergeCell ref="F3:I3"/>
    <mergeCell ref="C11:D11"/>
    <mergeCell ref="A47:B47"/>
    <mergeCell ref="AO9:AP9"/>
    <mergeCell ref="A29:B29"/>
    <mergeCell ref="Z64:AK65"/>
    <mergeCell ref="AR75:AR76"/>
    <mergeCell ref="A5:B7"/>
    <mergeCell ref="AM55:AN55"/>
    <mergeCell ref="A44:B44"/>
    <mergeCell ref="AQ58:AT58"/>
    <mergeCell ref="A31:B31"/>
    <mergeCell ref="A58:B58"/>
    <mergeCell ref="AM42:AN42"/>
    <mergeCell ref="AQ60:AT60"/>
    <mergeCell ref="AM69:AQ70"/>
    <mergeCell ref="AM29:AN29"/>
    <mergeCell ref="AM23:AN23"/>
    <mergeCell ref="AO23:AP23"/>
    <mergeCell ref="AM58:AN58"/>
    <mergeCell ref="AS81:AS82"/>
    <mergeCell ref="AO37:AP37"/>
    <mergeCell ref="AQ55:AT55"/>
    <mergeCell ref="AM24:AN24"/>
    <mergeCell ref="AO24:AP24"/>
    <mergeCell ref="AO18:AP18"/>
    <mergeCell ref="AM60:AN60"/>
    <mergeCell ref="J3:L3"/>
    <mergeCell ref="AQ61:AU61"/>
    <mergeCell ref="G71:S71"/>
    <mergeCell ref="A64:X67"/>
    <mergeCell ref="AM92:AU93"/>
    <mergeCell ref="A42:B42"/>
    <mergeCell ref="A17:B17"/>
    <mergeCell ref="C17:D17"/>
    <mergeCell ref="A53:B53"/>
    <mergeCell ref="T73:V74"/>
    <mergeCell ref="A19:B19"/>
    <mergeCell ref="C19:D19"/>
    <mergeCell ref="AR71:AR72"/>
    <mergeCell ref="G74:S74"/>
    <mergeCell ref="AN88:AU89"/>
    <mergeCell ref="A48:B48"/>
    <mergeCell ref="AO17:AP17"/>
    <mergeCell ref="AN90:AU91"/>
    <mergeCell ref="C14:D14"/>
    <mergeCell ref="AM19:AN19"/>
    <mergeCell ref="AM46:AN46"/>
    <mergeCell ref="AQ51:AU51"/>
    <mergeCell ref="AO12:AP12"/>
    <mergeCell ref="Z80:AK81"/>
    <mergeCell ref="AM48:AN48"/>
    <mergeCell ref="AM44:AN44"/>
    <mergeCell ref="A37:B37"/>
    <mergeCell ref="AN95:AU95"/>
    <mergeCell ref="M3:R3"/>
    <mergeCell ref="AO14:AP14"/>
    <mergeCell ref="AM78:AQ78"/>
    <mergeCell ref="AM45:AN45"/>
    <mergeCell ref="AM10:AN10"/>
    <mergeCell ref="AQ29:AU29"/>
    <mergeCell ref="Z91:AK92"/>
    <mergeCell ref="AQ23:AU23"/>
    <mergeCell ref="AP67:AQ68"/>
    <mergeCell ref="AO26:AP26"/>
    <mergeCell ref="C33:E33"/>
    <mergeCell ref="AM63:AO64"/>
    <mergeCell ref="AO55:AP55"/>
    <mergeCell ref="AO40:AP40"/>
    <mergeCell ref="AO27:AP27"/>
    <mergeCell ref="AM51:AN51"/>
    <mergeCell ref="AR73:AR74"/>
    <mergeCell ref="C20:D20"/>
    <mergeCell ref="AQ16:AU16"/>
    <mergeCell ref="AM83:AQ84"/>
    <mergeCell ref="C22:D22"/>
    <mergeCell ref="AW6:AX8"/>
    <mergeCell ref="AQ18:AU18"/>
    <mergeCell ref="Z70:AK73"/>
    <mergeCell ref="AQ42:AU42"/>
    <mergeCell ref="B80:X83"/>
    <mergeCell ref="AO45:AP45"/>
    <mergeCell ref="AS67:AS70"/>
    <mergeCell ref="AQ17:AU17"/>
    <mergeCell ref="AM20:AN20"/>
    <mergeCell ref="AO20:AP20"/>
    <mergeCell ref="C51:D51"/>
    <mergeCell ref="AM35:AN35"/>
    <mergeCell ref="AQ19:AU19"/>
    <mergeCell ref="Z74:AK74"/>
    <mergeCell ref="AO22:AP22"/>
    <mergeCell ref="A38:B38"/>
    <mergeCell ref="C38:D38"/>
    <mergeCell ref="AO51:AP51"/>
    <mergeCell ref="AQ44:AU44"/>
    <mergeCell ref="A40:B40"/>
    <mergeCell ref="A4:D4"/>
    <mergeCell ref="AQ31:AT31"/>
    <mergeCell ref="AQ45:AU45"/>
    <mergeCell ref="AO48:AP48"/>
    <mergeCell ref="C35:D35"/>
    <mergeCell ref="AQ37:AU37"/>
    <mergeCell ref="C10:D10"/>
    <mergeCell ref="AO33:AP33"/>
    <mergeCell ref="AQ26:AT26"/>
    <mergeCell ref="Z94:AK94"/>
    <mergeCell ref="AO43:AP43"/>
    <mergeCell ref="AO35:AP35"/>
    <mergeCell ref="AT65:AU66"/>
    <mergeCell ref="AQ57:AT57"/>
    <mergeCell ref="Z89:AK89"/>
    <mergeCell ref="AM31:AN31"/>
    <mergeCell ref="AO59:AP59"/>
    <mergeCell ref="AO46:AP46"/>
    <mergeCell ref="A76:X79"/>
    <mergeCell ref="C5:E7"/>
    <mergeCell ref="AO61:AP61"/>
    <mergeCell ref="AM26:AN26"/>
    <mergeCell ref="AQ20:AU20"/>
    <mergeCell ref="AT83:AU84"/>
    <mergeCell ref="AR67:AR70"/>
    <mergeCell ref="AQ22:AU22"/>
    <mergeCell ref="C60:E60"/>
    <mergeCell ref="S3:Z3"/>
    <mergeCell ref="A54:B54"/>
    <mergeCell ref="C54:D54"/>
    <mergeCell ref="A41:B41"/>
    <mergeCell ref="C41:D41"/>
    <mergeCell ref="A56:B56"/>
    <mergeCell ref="A27:B27"/>
    <mergeCell ref="C56:D56"/>
    <mergeCell ref="C43:D43"/>
    <mergeCell ref="AQ32:AT32"/>
    <mergeCell ref="AQ47:AT47"/>
    <mergeCell ref="C36:D36"/>
    <mergeCell ref="AQ38:AU38"/>
    <mergeCell ref="AO41:AP41"/>
    <mergeCell ref="AT75:AU76"/>
    <mergeCell ref="A22:B22"/>
    <mergeCell ref="AO34:AP34"/>
    <mergeCell ref="AQ40:AU40"/>
    <mergeCell ref="Z95:AK95"/>
    <mergeCell ref="AO49:AP49"/>
    <mergeCell ref="AP63:AQ64"/>
    <mergeCell ref="A9:B9"/>
    <mergeCell ref="AO36:AP36"/>
    <mergeCell ref="A11:B11"/>
    <mergeCell ref="AQ53:AU53"/>
    <mergeCell ref="AS71:AS72"/>
    <mergeCell ref="AM77:AQ77"/>
    <mergeCell ref="AO62:AP62"/>
    <mergeCell ref="AQ43:AU43"/>
    <mergeCell ref="AM16:AN16"/>
    <mergeCell ref="C57:D57"/>
    <mergeCell ref="AM18:AN18"/>
    <mergeCell ref="S4:Z4"/>
    <mergeCell ref="AQ48:AT48"/>
    <mergeCell ref="AM17:AN17"/>
    <mergeCell ref="AO11:AP11"/>
    <mergeCell ref="AM53:AN53"/>
    <mergeCell ref="C58:D58"/>
    <mergeCell ref="AM47:AN47"/>
    <mergeCell ref="AQ54:AU54"/>
    <mergeCell ref="AO57:AP57"/>
    <mergeCell ref="AM22:AN22"/>
    <mergeCell ref="AQ41:AU41"/>
    <mergeCell ref="Z75:AK79"/>
    <mergeCell ref="AM5:AP6"/>
    <mergeCell ref="F4:R4"/>
    <mergeCell ref="A12:B12"/>
    <mergeCell ref="C12:D12"/>
    <mergeCell ref="Z63:AK63"/>
    <mergeCell ref="A14:B14"/>
    <mergeCell ref="B71:F72"/>
    <mergeCell ref="AQ46:AT46"/>
    <mergeCell ref="C32:D32"/>
    <mergeCell ref="AQ9:AU9"/>
    <mergeCell ref="AM12:AN12"/>
    <mergeCell ref="A43:B43"/>
    <mergeCell ref="AI4:AL4"/>
    <mergeCell ref="AT71:AU72"/>
    <mergeCell ref="B73:F74"/>
    <mergeCell ref="AM41:AN41"/>
    <mergeCell ref="AT77:AU77"/>
    <mergeCell ref="AO7:AP7"/>
    <mergeCell ref="AA3:AG3"/>
    <mergeCell ref="AM71:AQ71"/>
    <mergeCell ref="A25:B25"/>
    <mergeCell ref="AM65:AQ66"/>
    <mergeCell ref="C25:D25"/>
    <mergeCell ref="AO19:AP19"/>
    <mergeCell ref="AQ62:AU62"/>
    <mergeCell ref="G68:S69"/>
    <mergeCell ref="AM61:AN61"/>
    <mergeCell ref="AO58:AP58"/>
    <mergeCell ref="AM67:AO68"/>
    <mergeCell ref="A63:X63"/>
    <mergeCell ref="AS75:AS76"/>
    <mergeCell ref="A20:B20"/>
    <mergeCell ref="A13:B13"/>
    <mergeCell ref="AM37:AN37"/>
    <mergeCell ref="C13:D13"/>
  </mergeCells>
  <pageMargins left="0.3149606299212598" right="0.3149606299212598" top="0.1574803149606299" bottom="0.1574803149606299" header="0" footer="0"/>
  <pageSetup orientation="landscape" paperSize="9" scale="9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BABYJOY-AN ASPIRAS</dc:creator>
  <dcterms:created xmlns:dcterms="http://purl.org/dc/terms/" xmlns:xsi="http://www.w3.org/2001/XMLSchema-instance" xsi:type="dcterms:W3CDTF">2024-09-04T01:26:19Z</dcterms:created>
  <dcterms:modified xmlns:dcterms="http://purl.org/dc/terms/" xmlns:xsi="http://www.w3.org/2001/XMLSchema-instance" xsi:type="dcterms:W3CDTF">2026-09-12T12:20:57Z</dcterms:modified>
  <cp:lastModifiedBy>MARLYN ELGARAN</cp:lastModifiedBy>
  <cp:lastPrinted>2026-06-13T09:51:37Z</cp:lastPrinted>
</cp:coreProperties>
</file>